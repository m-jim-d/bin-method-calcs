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autoCompressPictures="0"/>
  <bookViews>
    <workbookView xWindow="345" yWindow="90" windowWidth="12375" windowHeight="11565" tabRatio="852"/>
  </bookViews>
  <sheets>
    <sheet name="Overview" sheetId="7" r:id="rId1"/>
    <sheet name="Full-Load Performance" sheetId="1" r:id="rId2"/>
    <sheet name="AHRI Ratings" sheetId="2" r:id="rId3"/>
    <sheet name="Part-Load Performance" sheetId="3" r:id="rId4"/>
    <sheet name="Data Summary" sheetId="4" r:id="rId5"/>
    <sheet name="Scratch--ImagesFromPDF" sheetId="5" r:id="rId6"/>
    <sheet name="Scratch--TablesPastedFromPDF" sheetId="6" r:id="rId7"/>
  </sheets>
  <functionGroups builtInGroupCount="17"/>
  <definedNames>
    <definedName name="CFan_percent">'Part-Load Performance'!$C$3</definedName>
    <definedName name="Clear_STR">'Full-Load Performance'!$F$19:$F$20</definedName>
    <definedName name="DegFactor">'Part-Load Performance'!$E$3</definedName>
    <definedName name="Efan_kW">'Part-Load Performance'!$D$3</definedName>
    <definedName name="N_affinity">'Part-Load Performance'!$F$3</definedName>
    <definedName name="Partload_Mode">'Part-Load Performance'!$U$2:$U$4</definedName>
    <definedName name="SystemType">'Part-Load Performance'!$B$3</definedName>
  </definedNames>
  <calcPr calcId="145621"/>
</workbook>
</file>

<file path=xl/calcChain.xml><?xml version="1.0" encoding="utf-8"?>
<calcChain xmlns="http://schemas.openxmlformats.org/spreadsheetml/2006/main">
  <c r="G8" i="4" l="1"/>
  <c r="F8" i="4"/>
  <c r="E8" i="4"/>
  <c r="G7" i="4"/>
  <c r="F7" i="4"/>
  <c r="E7" i="4"/>
  <c r="G6" i="4"/>
  <c r="F6" i="4"/>
  <c r="E6" i="4"/>
  <c r="G20" i="4"/>
  <c r="F20" i="4"/>
  <c r="E20" i="4"/>
  <c r="G19" i="4"/>
  <c r="F19" i="4"/>
  <c r="E19" i="4"/>
  <c r="G18" i="4"/>
  <c r="F18" i="4"/>
  <c r="E18" i="4"/>
  <c r="G17" i="4"/>
  <c r="F17" i="4"/>
  <c r="E17" i="4"/>
  <c r="G16" i="4"/>
  <c r="F16" i="4"/>
  <c r="E16" i="4"/>
  <c r="G15" i="4"/>
  <c r="F15" i="4"/>
  <c r="E15" i="4"/>
  <c r="G14" i="4"/>
  <c r="F14" i="4"/>
  <c r="E14" i="4"/>
  <c r="G13" i="4"/>
  <c r="F13" i="4"/>
  <c r="E13" i="4"/>
  <c r="G12" i="4"/>
  <c r="F12" i="4"/>
  <c r="E12" i="4"/>
  <c r="G11" i="4"/>
  <c r="F11" i="4"/>
  <c r="E11" i="4"/>
  <c r="G10" i="4"/>
  <c r="F10" i="4"/>
  <c r="E10" i="4"/>
  <c r="G9" i="4"/>
  <c r="F9" i="4"/>
  <c r="E9" i="4"/>
  <c r="G5" i="4"/>
  <c r="F5" i="4"/>
  <c r="E5" i="4"/>
  <c r="G4" i="4"/>
  <c r="F4" i="4"/>
  <c r="E4" i="4"/>
  <c r="G3" i="4"/>
  <c r="F3" i="4"/>
  <c r="E3" i="4"/>
  <c r="H6" i="6" l="1"/>
  <c r="E23" i="3"/>
  <c r="E9" i="3"/>
  <c r="C23" i="3"/>
  <c r="C9" i="3"/>
  <c r="E24" i="3"/>
  <c r="E10" i="3"/>
  <c r="C24" i="3"/>
  <c r="C10" i="3"/>
  <c r="F25" i="3"/>
  <c r="F11" i="3"/>
  <c r="D25" i="3"/>
  <c r="D11" i="3"/>
  <c r="F26" i="3"/>
  <c r="F12" i="3"/>
  <c r="D26" i="3"/>
  <c r="D12" i="3"/>
  <c r="C12" i="3"/>
  <c r="F23" i="3"/>
  <c r="F9" i="3"/>
  <c r="D23" i="3"/>
  <c r="D9" i="3"/>
  <c r="F24" i="3"/>
  <c r="F10" i="3"/>
  <c r="D24" i="3"/>
  <c r="D10" i="3"/>
  <c r="E25" i="3"/>
  <c r="E11" i="3"/>
  <c r="C25" i="3"/>
  <c r="C11" i="3"/>
  <c r="E26" i="3"/>
  <c r="E12" i="3"/>
  <c r="C26" i="3"/>
  <c r="C11" i="2" l="1"/>
  <c r="C30" i="4" s="1"/>
  <c r="A1" i="4"/>
  <c r="C5" i="2"/>
  <c r="C29" i="4" s="1"/>
  <c r="G13" i="6"/>
  <c r="M13" i="6"/>
  <c r="S13" i="6"/>
  <c r="Y13" i="6"/>
  <c r="G14" i="6"/>
  <c r="M14" i="6"/>
  <c r="S14" i="6"/>
  <c r="Y14" i="6"/>
  <c r="G15" i="6"/>
  <c r="M15" i="6"/>
  <c r="S15" i="6"/>
  <c r="Y15" i="6"/>
  <c r="C9" i="2"/>
  <c r="C27" i="4" s="1"/>
  <c r="B32" i="4"/>
  <c r="B33" i="4"/>
  <c r="B34" i="4"/>
  <c r="B35" i="4"/>
  <c r="C22" i="4"/>
  <c r="C23" i="4"/>
  <c r="C24" i="4"/>
  <c r="C25" i="4"/>
  <c r="C26" i="4"/>
  <c r="C28" i="4"/>
  <c r="C31" i="4"/>
  <c r="C21" i="4"/>
  <c r="C18" i="4"/>
  <c r="D18" i="4"/>
  <c r="C19" i="4"/>
  <c r="D19" i="4"/>
  <c r="C20" i="4"/>
  <c r="D20" i="4"/>
  <c r="C15" i="4"/>
  <c r="D15" i="4"/>
  <c r="C16" i="4"/>
  <c r="D16" i="4"/>
  <c r="C17" i="4"/>
  <c r="D17" i="4"/>
  <c r="C12" i="4"/>
  <c r="D12" i="4"/>
  <c r="C13" i="4"/>
  <c r="D13" i="4"/>
  <c r="C14" i="4"/>
  <c r="D14" i="4"/>
  <c r="C9" i="4"/>
  <c r="D9" i="4"/>
  <c r="C10" i="4"/>
  <c r="D10" i="4"/>
  <c r="C11" i="4"/>
  <c r="D11" i="4"/>
  <c r="C6" i="4"/>
  <c r="D6" i="4"/>
  <c r="C7" i="4"/>
  <c r="D7" i="4"/>
  <c r="C8" i="4"/>
  <c r="D8" i="4"/>
  <c r="C3" i="4"/>
  <c r="D3" i="4"/>
  <c r="C4" i="4"/>
  <c r="D4" i="4"/>
  <c r="C5" i="4"/>
  <c r="D5" i="4"/>
  <c r="F34" i="3"/>
  <c r="F36" i="3"/>
  <c r="D34" i="3"/>
  <c r="E35" i="3"/>
  <c r="E37" i="3"/>
  <c r="F35" i="3"/>
  <c r="F37" i="3"/>
  <c r="C37" i="3"/>
  <c r="C35" i="3"/>
  <c r="D35" i="3"/>
  <c r="D37" i="3"/>
  <c r="E34" i="3"/>
  <c r="C34" i="3"/>
  <c r="C36" i="3"/>
  <c r="D36" i="3"/>
  <c r="E36" i="3"/>
  <c r="J12" i="3" l="1"/>
  <c r="D35" i="4"/>
  <c r="E35" i="4"/>
  <c r="C33" i="4"/>
  <c r="C34" i="4"/>
  <c r="C35" i="4"/>
  <c r="E33" i="4"/>
  <c r="D32" i="4"/>
  <c r="F34" i="4"/>
  <c r="C32" i="4"/>
  <c r="F32" i="4"/>
  <c r="E32" i="4"/>
  <c r="F33" i="4"/>
  <c r="D33" i="4"/>
  <c r="E34" i="4"/>
  <c r="D34" i="4"/>
  <c r="F35" i="4"/>
</calcChain>
</file>

<file path=xl/comments1.xml><?xml version="1.0" encoding="utf-8"?>
<comments xmlns="http://schemas.openxmlformats.org/spreadsheetml/2006/main">
  <authors>
    <author>Jim Miller</author>
  </authors>
  <commentList>
    <comment ref="C2" authorId="0">
      <text>
        <r>
          <rPr>
            <b/>
            <sz val="8"/>
            <color indexed="81"/>
            <rFont val="Tahoma"/>
          </rPr>
          <t>Outside Dry Bulb (F)</t>
        </r>
      </text>
    </comment>
    <comment ref="E3" authorId="0">
      <text>
        <r>
          <rPr>
            <b/>
            <sz val="8"/>
            <color indexed="81"/>
            <rFont val="Tahoma"/>
          </rPr>
          <t>Sensible to Total Capacity Ratio</t>
        </r>
      </text>
    </comment>
    <comment ref="B4" authorId="0">
      <text>
        <r>
          <rPr>
            <b/>
            <sz val="8"/>
            <color indexed="81"/>
            <rFont val="Tahoma"/>
          </rPr>
          <t>Entering Web Bulb (F)</t>
        </r>
      </text>
    </comment>
    <comment ref="C4" authorId="0">
      <text>
        <r>
          <rPr>
            <b/>
            <sz val="8"/>
            <color indexed="81"/>
            <rFont val="Tahoma"/>
          </rPr>
          <t>Total Gross Capacity (kBtuh)</t>
        </r>
      </text>
    </comment>
    <comment ref="D4" authorId="0">
      <text>
        <r>
          <rPr>
            <b/>
            <sz val="8"/>
            <color indexed="81"/>
            <rFont val="Tahoma"/>
          </rPr>
          <t>Condenser Power (kW)</t>
        </r>
      </text>
    </comment>
    <comment ref="E4" authorId="0">
      <text>
        <r>
          <rPr>
            <b/>
            <sz val="8"/>
            <color indexed="81"/>
            <rFont val="Tahoma"/>
          </rPr>
          <t>EDB: Entering Dry Bulb (F)</t>
        </r>
      </text>
    </comment>
    <comment ref="B10" authorId="0">
      <text>
        <r>
          <rPr>
            <sz val="8"/>
            <color indexed="81"/>
            <rFont val="Tahoma"/>
            <family val="2"/>
          </rPr>
          <t>Flow Rate (CFM)</t>
        </r>
      </text>
    </comment>
    <comment ref="B19" authorId="0">
      <text>
        <r>
          <rPr>
            <sz val="9"/>
            <color indexed="81"/>
            <rFont val="Tahoma"/>
            <family val="2"/>
          </rPr>
          <t>Select mode:
Click the gray cell below to activate the selection list.
This control allows the user to set all the S/T Ratios on the "Data Summary" sheet to either "NA" or the values in the table above.</t>
        </r>
      </text>
    </comment>
  </commentList>
</comments>
</file>

<file path=xl/comments2.xml><?xml version="1.0" encoding="utf-8"?>
<comments xmlns="http://schemas.openxmlformats.org/spreadsheetml/2006/main">
  <authors>
    <author>Jim Miller</author>
  </authors>
  <commentList>
    <comment ref="B4" authorId="0">
      <text>
        <r>
          <rPr>
            <sz val="8"/>
            <color indexed="81"/>
            <rFont val="Tahoma"/>
            <family val="2"/>
          </rPr>
          <t>Including evaporator blower motor heat deduction.</t>
        </r>
      </text>
    </comment>
    <comment ref="B6" authorId="0">
      <text>
        <r>
          <rPr>
            <sz val="8"/>
            <color indexed="81"/>
            <rFont val="Tahoma"/>
            <family val="2"/>
          </rPr>
          <t>This value should be equal to the ARI Air Flow value on the Full-Load Performance sheet.</t>
        </r>
      </text>
    </comment>
  </commentList>
</comments>
</file>

<file path=xl/comments3.xml><?xml version="1.0" encoding="utf-8"?>
<comments xmlns="http://schemas.openxmlformats.org/spreadsheetml/2006/main">
  <authors>
    <author>Gustavus Adolphus College</author>
    <author>Jim Miller</author>
  </authors>
  <commentList>
    <comment ref="B3" authorId="0">
      <text>
        <r>
          <rPr>
            <sz val="9"/>
            <color indexed="81"/>
            <rFont val="Tahoma"/>
            <family val="2"/>
          </rPr>
          <t xml:space="preserve">Mode Options:
</t>
        </r>
        <r>
          <rPr>
            <b/>
            <sz val="9"/>
            <color indexed="81"/>
            <rFont val="Tahoma"/>
            <family val="2"/>
          </rPr>
          <t>VS: V</t>
        </r>
        <r>
          <rPr>
            <sz val="9"/>
            <color indexed="81"/>
            <rFont val="Tahoma"/>
            <family val="2"/>
          </rPr>
          <t xml:space="preserve">ariable </t>
        </r>
        <r>
          <rPr>
            <b/>
            <sz val="9"/>
            <color indexed="81"/>
            <rFont val="Tahoma"/>
            <family val="2"/>
          </rPr>
          <t>S</t>
        </r>
        <r>
          <rPr>
            <sz val="9"/>
            <color indexed="81"/>
            <rFont val="Tahoma"/>
            <family val="2"/>
          </rPr>
          <t xml:space="preserve">peed (Variable-capacity condenser; variable-speed evaporator fan).
</t>
        </r>
        <r>
          <rPr>
            <b/>
            <sz val="9"/>
            <color indexed="81"/>
            <rFont val="Tahoma"/>
            <family val="2"/>
          </rPr>
          <t>C:   C</t>
        </r>
        <r>
          <rPr>
            <sz val="9"/>
            <color indexed="81"/>
            <rFont val="Tahoma"/>
            <family val="2"/>
          </rPr>
          <t>ycling</t>
        </r>
        <r>
          <rPr>
            <b/>
            <sz val="9"/>
            <color indexed="81"/>
            <rFont val="Tahoma"/>
            <family val="2"/>
          </rPr>
          <t xml:space="preserve">            </t>
        </r>
        <r>
          <rPr>
            <sz val="9"/>
            <color indexed="81"/>
            <rFont val="Tahoma"/>
            <family val="2"/>
          </rPr>
          <t>(Single-stage condenser;       single-speed evaporator fan).</t>
        </r>
        <r>
          <rPr>
            <b/>
            <sz val="9"/>
            <color indexed="81"/>
            <rFont val="Tahoma"/>
            <family val="2"/>
          </rPr>
          <t xml:space="preserve">
Clear: </t>
        </r>
        <r>
          <rPr>
            <sz val="9"/>
            <color indexed="81"/>
            <rFont val="Tahoma"/>
            <family val="2"/>
          </rPr>
          <t>Clear out the table cells below so that only full-load model is exported.</t>
        </r>
      </text>
    </comment>
    <comment ref="C3" authorId="0">
      <text>
        <r>
          <rPr>
            <b/>
            <sz val="9"/>
            <color indexed="81"/>
            <rFont val="Tahoma"/>
            <family val="2"/>
          </rPr>
          <t>Default: 8.2</t>
        </r>
        <r>
          <rPr>
            <sz val="9"/>
            <color indexed="81"/>
            <rFont val="Tahoma"/>
            <family val="2"/>
          </rPr>
          <t xml:space="preserve">
Percentage of the condenser power that is due to the condenser fan at rating conditions.</t>
        </r>
        <r>
          <rPr>
            <b/>
            <sz val="9"/>
            <color indexed="81"/>
            <rFont val="Tahoma"/>
            <family val="2"/>
          </rPr>
          <t xml:space="preserve">
</t>
        </r>
      </text>
    </comment>
    <comment ref="D3" authorId="0">
      <text>
        <r>
          <rPr>
            <b/>
            <sz val="9"/>
            <color indexed="81"/>
            <rFont val="Tahoma"/>
            <family val="2"/>
          </rPr>
          <t xml:space="preserve">Default:  1.8
</t>
        </r>
        <r>
          <rPr>
            <sz val="9"/>
            <color indexed="81"/>
            <rFont val="Tahoma"/>
            <family val="2"/>
          </rPr>
          <t>Evaporator fan power (kW)</t>
        </r>
      </text>
    </comment>
    <comment ref="E3" authorId="0">
      <text>
        <r>
          <rPr>
            <b/>
            <sz val="9"/>
            <color indexed="81"/>
            <rFont val="Tahoma"/>
            <family val="2"/>
          </rPr>
          <t xml:space="preserve">Default:  25%
</t>
        </r>
        <r>
          <rPr>
            <sz val="9"/>
            <color indexed="81"/>
            <rFont val="Tahoma"/>
            <family val="2"/>
          </rPr>
          <t>Cycling degradation factor (percent).</t>
        </r>
      </text>
    </comment>
    <comment ref="F3" authorId="1">
      <text>
        <r>
          <rPr>
            <b/>
            <sz val="9"/>
            <color indexed="81"/>
            <rFont val="Tahoma"/>
            <family val="2"/>
          </rPr>
          <t>Default: 2.5</t>
        </r>
        <r>
          <rPr>
            <sz val="9"/>
            <color indexed="81"/>
            <rFont val="Tahoma"/>
            <charset val="1"/>
          </rPr>
          <t xml:space="preserve">
N for fan affinity law calculations.
</t>
        </r>
      </text>
    </comment>
    <comment ref="C9" authorId="1">
      <text>
        <r>
          <rPr>
            <b/>
            <sz val="8"/>
            <color indexed="81"/>
            <rFont val="Tahoma"/>
          </rPr>
          <t>The value should equal the ARI rated EER</t>
        </r>
      </text>
    </comment>
  </commentList>
</comments>
</file>

<file path=xl/sharedStrings.xml><?xml version="1.0" encoding="utf-8"?>
<sst xmlns="http://schemas.openxmlformats.org/spreadsheetml/2006/main" count="186" uniqueCount="95">
  <si>
    <t>(IEER from table =</t>
  </si>
  <si>
    <t>)</t>
  </si>
  <si>
    <t>All values at AHRI rating conditions</t>
  </si>
  <si>
    <t>AHRI Air Flow</t>
  </si>
  <si>
    <t>Cap</t>
  </si>
  <si>
    <t>S/T Ratio</t>
  </si>
  <si>
    <t>ODB = 65</t>
  </si>
  <si>
    <t>ODB = 75</t>
  </si>
  <si>
    <t>EWB</t>
  </si>
  <si>
    <t>ODB = 85</t>
  </si>
  <si>
    <t>ODB = 95</t>
  </si>
  <si>
    <t>ODB = 105</t>
  </si>
  <si>
    <t>ODB = 115</t>
  </si>
  <si>
    <t>ARI Rated Air Flow (CFM)</t>
  </si>
  <si>
    <t>Net Cooling Capacity (Btuh)</t>
  </si>
  <si>
    <t>Evaporator Fan Power (kW)</t>
  </si>
  <si>
    <t>Total System Power (kW)</t>
  </si>
  <si>
    <t>EER</t>
  </si>
  <si>
    <t>IEER</t>
  </si>
  <si>
    <t>Auxilary Power (kW)</t>
  </si>
  <si>
    <t>ODB (F)</t>
  </si>
  <si>
    <t>EDB, EWB, and air flow rates at levels indicated in IEER standard (340/360-2007).</t>
  </si>
  <si>
    <t>Load (%)</t>
  </si>
  <si>
    <t>Values should be representative when all compressor stages are running.</t>
  </si>
  <si>
    <t>Interpolation, and extrapolation (to lower loading levels) should be done as described in IEER standard.</t>
  </si>
  <si>
    <t>65/63</t>
  </si>
  <si>
    <t>65/67</t>
  </si>
  <si>
    <t>65/71</t>
  </si>
  <si>
    <t>75/63</t>
  </si>
  <si>
    <t>75/67</t>
  </si>
  <si>
    <t>75/71</t>
  </si>
  <si>
    <t>85/63</t>
  </si>
  <si>
    <t>85/67</t>
  </si>
  <si>
    <t>85/71</t>
  </si>
  <si>
    <t>95/63</t>
  </si>
  <si>
    <t>95/67</t>
  </si>
  <si>
    <t>95/71</t>
  </si>
  <si>
    <t>105/63</t>
  </si>
  <si>
    <t>105/67</t>
  </si>
  <si>
    <t>105/71</t>
  </si>
  <si>
    <t>115/63</t>
  </si>
  <si>
    <t>115/67</t>
  </si>
  <si>
    <t>115/71</t>
  </si>
  <si>
    <t>AirFlow</t>
  </si>
  <si>
    <t>Condensor Power (kW)</t>
  </si>
  <si>
    <t>Cond</t>
  </si>
  <si>
    <t>All values should be at AHRI Rated Air Flow. Record that value in the field below (usually about 350 cfm/ton).</t>
  </si>
  <si>
    <t>GrossCoolingCapacity</t>
  </si>
  <si>
    <t>NetCoolingCapacity</t>
  </si>
  <si>
    <t>ARI_RatedAirFlow</t>
  </si>
  <si>
    <t>EvaporatorFanPower</t>
  </si>
  <si>
    <t>AuxilaryPower</t>
  </si>
  <si>
    <t>TotalSystemPower</t>
  </si>
  <si>
    <t>Partload</t>
  </si>
  <si>
    <t>AHRI</t>
  </si>
  <si>
    <t>Cap/Cond/ST</t>
  </si>
  <si>
    <t>TCA180S</t>
  </si>
  <si>
    <t>Al l compressors running.</t>
  </si>
  <si>
    <t>compressor fan =</t>
  </si>
  <si>
    <t>watts</t>
  </si>
  <si>
    <t xml:space="preserve">evaporator fan = </t>
  </si>
  <si>
    <t>btuh</t>
  </si>
  <si>
    <t>=</t>
  </si>
  <si>
    <t>Cap (kBtuh)</t>
  </si>
  <si>
    <t>Comp (kW)</t>
  </si>
  <si>
    <t xml:space="preserve"> </t>
  </si>
  <si>
    <t>NA</t>
  </si>
  <si>
    <t>S/T Ratio (Sensible to Total)</t>
  </si>
  <si>
    <t>ST_Ratio</t>
  </si>
  <si>
    <t>TCA180S2B</t>
  </si>
  <si>
    <t>Model Number</t>
  </si>
  <si>
    <t>Yellow fields should equal the Gross Capacity, Condenser Power, and S/T Ratio given on the "AHRI Rating" sheet.</t>
  </si>
  <si>
    <t>EER-Cond = GrossCooling_kBtuh / (Compressor_kW + CondenserFan_kW)</t>
  </si>
  <si>
    <t>EER-Cond (excluding evaporator fan energy)</t>
  </si>
  <si>
    <r>
      <t xml:space="preserve">These EER-Cond values are similar to the regular EER values above except that all auxilary power, evaporator-fan power draw, and evaporator-fan heat has been removed from the EER calculation. </t>
    </r>
    <r>
      <rPr>
        <b/>
        <sz val="11"/>
        <color indexed="8"/>
        <rFont val="Calibri"/>
        <family val="2"/>
      </rPr>
      <t>These EER-Cond values represents ONLY the condenser.</t>
    </r>
    <r>
      <rPr>
        <sz val="11"/>
        <color indexed="8"/>
        <rFont val="Calibri"/>
        <family val="2"/>
      </rPr>
      <t xml:space="preserve"> These values should be calculated using the following equation:</t>
    </r>
  </si>
  <si>
    <t>(This table is optional in that the values here are used to perform a comparison with the published IEER values. This table does NOT feed into the Data Summary sheet.)</t>
  </si>
  <si>
    <t>V1.2</t>
  </si>
  <si>
    <t>EER Values as affected by Load and ODB</t>
  </si>
  <si>
    <t>Gross Cooling Capacity (Btuh)</t>
  </si>
  <si>
    <t>Mode</t>
  </si>
  <si>
    <t>Efan (kW)</t>
  </si>
  <si>
    <t>Cfan (%)</t>
  </si>
  <si>
    <t>Deg. Fact.</t>
  </si>
  <si>
    <t>EER-Cond (Normalized)</t>
  </si>
  <si>
    <t>VS</t>
  </si>
  <si>
    <t>C</t>
  </si>
  <si>
    <t>CondenserPower</t>
  </si>
  <si>
    <t>Clear</t>
  </si>
  <si>
    <t>N</t>
  </si>
  <si>
    <t>Set to NA</t>
  </si>
  <si>
    <t>Clear S/T Ratios</t>
  </si>
  <si>
    <t>Use this table</t>
  </si>
  <si>
    <t>These EER-Cond values are normalized and derived from the EER-Cond table above. All these values are calculated at the ratio of each cell to the cell value in the 100 Load row (in the same column). These normalized values illustrate the part-load behavior and effectively remove the coil-behavior changes related to ODB.</t>
  </si>
  <si>
    <t>(This table is required for representing the part-load behavior of the condenser. The data in the yellow cells of this table feed directly into the Data Summary sheet.)</t>
  </si>
  <si>
    <r>
      <rPr>
        <b/>
        <sz val="11"/>
        <color rgb="FFFF0000"/>
        <rFont val="Calibri"/>
        <family val="2"/>
      </rPr>
      <t>Note:</t>
    </r>
    <r>
      <rPr>
        <sz val="11"/>
        <rFont val="Calibri"/>
        <family val="2"/>
      </rPr>
      <t xml:space="preserve"> Move your mouse cursor over the small </t>
    </r>
    <r>
      <rPr>
        <sz val="11"/>
        <color rgb="FFFF0000"/>
        <rFont val="Calibri"/>
        <family val="2"/>
      </rPr>
      <t>red</t>
    </r>
    <r>
      <rPr>
        <sz val="11"/>
        <rFont val="Calibri"/>
        <family val="2"/>
      </rPr>
      <t xml:space="preserve"> triangles to get comments and definitions.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</si>
</sst>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indexed="8"/>
      <name val="Calibri"/>
      <family val="2"/>
    </font>
    <font>
      <sz val="11"/>
      <color theme="1"/>
      <name val="Calibri"/>
      <family val="2"/>
      <scheme val="minor"/>
    </font>
    <font>
      <b/>
      <sz val="8"/>
      <color indexed="81"/>
      <name val="Tahoma"/>
    </font>
    <font>
      <sz val="8"/>
      <color indexed="81"/>
      <name val="Tahoma"/>
      <family val="2"/>
    </font>
    <font>
      <sz val="11"/>
      <color indexed="10"/>
      <name val="Calibri"/>
      <family val="2"/>
    </font>
    <font>
      <b/>
      <sz val="11"/>
      <color indexed="8"/>
      <name val="Calibri"/>
      <family val="2"/>
    </font>
    <font>
      <sz val="9"/>
      <color indexed="81"/>
      <name val="Tahoma"/>
      <family val="2"/>
    </font>
    <font>
      <b/>
      <sz val="9"/>
      <color indexed="81"/>
      <name val="Tahoma"/>
      <family val="2"/>
    </font>
    <font>
      <sz val="11"/>
      <color theme="0" tint="-0.14999847407452621"/>
      <name val="Calibri"/>
      <family val="2"/>
    </font>
    <font>
      <sz val="11"/>
      <color rgb="FFFF0000"/>
      <name val="Calibri"/>
      <family val="2"/>
    </font>
    <font>
      <sz val="11"/>
      <name val="Calibri"/>
      <family val="2"/>
    </font>
    <font>
      <b/>
      <sz val="11"/>
      <color rgb="FFFF0000"/>
      <name val="Calibri"/>
      <family val="2"/>
    </font>
    <font>
      <sz val="9"/>
      <color indexed="81"/>
      <name val="Tahoma"/>
      <charset val="1"/>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CCECF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0" tint="-0.249977111117893"/>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0" fontId="1" fillId="0" borderId="0"/>
  </cellStyleXfs>
  <cellXfs count="123">
    <xf numFmtId="0" fontId="0" fillId="0" borderId="0" xfId="0"/>
    <xf numFmtId="0" fontId="0" fillId="2" borderId="0" xfId="0" applyFill="1" applyBorder="1"/>
    <xf numFmtId="0" fontId="0" fillId="2" borderId="4" xfId="0" applyFill="1" applyBorder="1"/>
    <xf numFmtId="0" fontId="0" fillId="2" borderId="21" xfId="0" applyFill="1" applyBorder="1"/>
    <xf numFmtId="0" fontId="0" fillId="2" borderId="20" xfId="0" applyFill="1" applyBorder="1"/>
    <xf numFmtId="0" fontId="0" fillId="2" borderId="23"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2" borderId="8" xfId="0" applyFill="1" applyBorder="1"/>
    <xf numFmtId="0" fontId="0" fillId="2" borderId="14" xfId="0" applyFill="1" applyBorder="1"/>
    <xf numFmtId="0" fontId="0" fillId="2" borderId="25" xfId="0" applyFill="1" applyBorder="1"/>
    <xf numFmtId="0" fontId="0" fillId="2" borderId="29" xfId="0" applyFill="1" applyBorder="1"/>
    <xf numFmtId="0" fontId="0" fillId="3" borderId="21" xfId="0" applyFill="1" applyBorder="1"/>
    <xf numFmtId="0" fontId="0" fillId="2" borderId="20" xfId="0" applyFill="1" applyBorder="1" applyAlignment="1">
      <alignment horizontal="center"/>
    </xf>
    <xf numFmtId="164" fontId="0" fillId="3" borderId="20" xfId="0" applyNumberFormat="1" applyFill="1" applyBorder="1"/>
    <xf numFmtId="0" fontId="0" fillId="0" borderId="0" xfId="0" applyNumberFormat="1" applyFont="1" applyFill="1" applyBorder="1" applyAlignment="1" applyProtection="1"/>
    <xf numFmtId="0" fontId="4" fillId="0" borderId="0" xfId="0" applyNumberFormat="1" applyFont="1" applyFill="1" applyBorder="1" applyAlignment="1" applyProtection="1"/>
    <xf numFmtId="0" fontId="0" fillId="4" borderId="0" xfId="0" applyNumberFormat="1" applyFont="1" applyFill="1" applyBorder="1" applyAlignment="1" applyProtection="1"/>
    <xf numFmtId="0" fontId="0" fillId="4" borderId="21" xfId="0" applyFill="1" applyBorder="1"/>
    <xf numFmtId="0" fontId="0" fillId="2" borderId="15" xfId="0" applyFill="1" applyBorder="1"/>
    <xf numFmtId="0" fontId="0" fillId="5" borderId="30" xfId="0" applyFill="1" applyBorder="1" applyAlignment="1">
      <alignment horizontal="right"/>
    </xf>
    <xf numFmtId="0" fontId="0" fillId="0" borderId="0" xfId="0" applyAlignment="1">
      <alignment vertical="top" wrapText="1"/>
    </xf>
    <xf numFmtId="0" fontId="0" fillId="2" borderId="31" xfId="0" applyFill="1" applyBorder="1" applyAlignment="1">
      <alignment horizontal="center"/>
    </xf>
    <xf numFmtId="0" fontId="0" fillId="2" borderId="32" xfId="0" applyFill="1" applyBorder="1"/>
    <xf numFmtId="0" fontId="0" fillId="2" borderId="33" xfId="0" applyFill="1" applyBorder="1"/>
    <xf numFmtId="164" fontId="0" fillId="6" borderId="21" xfId="0" applyNumberFormat="1" applyFill="1" applyBorder="1"/>
    <xf numFmtId="164" fontId="0" fillId="6" borderId="23" xfId="0" applyNumberFormat="1" applyFill="1" applyBorder="1"/>
    <xf numFmtId="164" fontId="0" fillId="6" borderId="10" xfId="0" applyNumberFormat="1" applyFill="1" applyBorder="1"/>
    <xf numFmtId="2" fontId="0" fillId="6" borderId="21" xfId="0" applyNumberFormat="1" applyFill="1" applyBorder="1"/>
    <xf numFmtId="164" fontId="0" fillId="7" borderId="21" xfId="0" quotePrefix="1" applyNumberFormat="1" applyFill="1" applyBorder="1"/>
    <xf numFmtId="164" fontId="0" fillId="7" borderId="21" xfId="0" applyNumberFormat="1" applyFill="1" applyBorder="1"/>
    <xf numFmtId="164" fontId="0" fillId="8" borderId="21" xfId="0" quotePrefix="1" applyNumberFormat="1" applyFill="1" applyBorder="1"/>
    <xf numFmtId="0" fontId="8" fillId="6" borderId="0" xfId="0" applyFont="1" applyFill="1"/>
    <xf numFmtId="0" fontId="9" fillId="0" borderId="0" xfId="0" applyFont="1"/>
    <xf numFmtId="0" fontId="0" fillId="0" borderId="0" xfId="0" applyAlignment="1">
      <alignment vertical="top" wrapText="1"/>
    </xf>
    <xf numFmtId="0" fontId="5" fillId="0" borderId="0" xfId="0" applyFont="1" applyAlignment="1">
      <alignment vertical="top" wrapText="1"/>
    </xf>
    <xf numFmtId="0" fontId="0" fillId="0" borderId="0" xfId="0" applyAlignment="1">
      <alignment vertical="top" wrapText="1"/>
    </xf>
    <xf numFmtId="0" fontId="0" fillId="0" borderId="0" xfId="0" applyAlignment="1">
      <alignment horizontal="right"/>
    </xf>
    <xf numFmtId="0" fontId="8" fillId="0" borderId="0" xfId="0" applyFont="1"/>
    <xf numFmtId="164" fontId="0" fillId="0" borderId="0" xfId="0" applyNumberFormat="1" applyBorder="1"/>
    <xf numFmtId="0" fontId="0" fillId="0" borderId="0" xfId="0" applyBorder="1"/>
    <xf numFmtId="0" fontId="0" fillId="0" borderId="38" xfId="0" applyBorder="1"/>
    <xf numFmtId="0" fontId="0" fillId="9" borderId="15" xfId="0" applyFill="1" applyBorder="1"/>
    <xf numFmtId="0" fontId="0" fillId="9" borderId="16" xfId="0" applyFill="1" applyBorder="1"/>
    <xf numFmtId="0" fontId="0" fillId="9" borderId="17" xfId="0" applyFill="1" applyBorder="1"/>
    <xf numFmtId="0" fontId="0" fillId="9" borderId="18" xfId="0" applyFill="1" applyBorder="1"/>
    <xf numFmtId="164" fontId="0" fillId="9" borderId="15" xfId="0" applyNumberFormat="1" applyFill="1" applyBorder="1"/>
    <xf numFmtId="0" fontId="0" fillId="9" borderId="20" xfId="0" applyFill="1" applyBorder="1"/>
    <xf numFmtId="0" fontId="0" fillId="9" borderId="21" xfId="0" applyFill="1" applyBorder="1"/>
    <xf numFmtId="0" fontId="0" fillId="9" borderId="22" xfId="0" applyFill="1" applyBorder="1"/>
    <xf numFmtId="0" fontId="0" fillId="9" borderId="23" xfId="0" applyFill="1" applyBorder="1"/>
    <xf numFmtId="164" fontId="0" fillId="9" borderId="20" xfId="0" applyNumberFormat="1" applyFill="1" applyBorder="1"/>
    <xf numFmtId="0" fontId="0" fillId="9" borderId="9" xfId="0" applyFill="1" applyBorder="1"/>
    <xf numFmtId="0" fontId="0" fillId="9" borderId="10" xfId="0" applyFill="1" applyBorder="1"/>
    <xf numFmtId="0" fontId="0" fillId="9" borderId="11" xfId="0" applyFill="1" applyBorder="1"/>
    <xf numFmtId="0" fontId="0" fillId="9" borderId="12" xfId="0" applyFill="1" applyBorder="1"/>
    <xf numFmtId="164" fontId="0" fillId="11" borderId="29" xfId="0" applyNumberFormat="1" applyFill="1" applyBorder="1"/>
    <xf numFmtId="164" fontId="0" fillId="11" borderId="34" xfId="0" applyNumberFormat="1" applyFill="1" applyBorder="1"/>
    <xf numFmtId="164" fontId="0" fillId="11" borderId="30" xfId="0" applyNumberFormat="1" applyFill="1" applyBorder="1"/>
    <xf numFmtId="164" fontId="0" fillId="11" borderId="20" xfId="0" applyNumberFormat="1" applyFill="1" applyBorder="1"/>
    <xf numFmtId="164" fontId="0" fillId="11" borderId="21" xfId="0" applyNumberFormat="1" applyFill="1" applyBorder="1"/>
    <xf numFmtId="164" fontId="0" fillId="11" borderId="23" xfId="0" applyNumberFormat="1" applyFill="1" applyBorder="1"/>
    <xf numFmtId="164" fontId="0" fillId="11" borderId="9" xfId="0" applyNumberFormat="1" applyFill="1" applyBorder="1"/>
    <xf numFmtId="164" fontId="0" fillId="11" borderId="10" xfId="0" applyNumberFormat="1" applyFill="1" applyBorder="1"/>
    <xf numFmtId="164" fontId="0" fillId="11" borderId="12" xfId="0" applyNumberFormat="1" applyFill="1" applyBorder="1"/>
    <xf numFmtId="2" fontId="0" fillId="9" borderId="16" xfId="0" applyNumberFormat="1" applyFill="1" applyBorder="1"/>
    <xf numFmtId="2" fontId="0" fillId="9" borderId="18" xfId="0" applyNumberFormat="1" applyFill="1" applyBorder="1"/>
    <xf numFmtId="2" fontId="0" fillId="9" borderId="19" xfId="0" applyNumberFormat="1" applyFill="1" applyBorder="1"/>
    <xf numFmtId="164" fontId="0" fillId="9" borderId="9" xfId="0" applyNumberFormat="1" applyFill="1" applyBorder="1"/>
    <xf numFmtId="2" fontId="0" fillId="9" borderId="10" xfId="0" applyNumberFormat="1" applyFill="1" applyBorder="1"/>
    <xf numFmtId="2" fontId="0" fillId="9" borderId="12" xfId="0" applyNumberFormat="1" applyFill="1" applyBorder="1"/>
    <xf numFmtId="2" fontId="0" fillId="9" borderId="13" xfId="0" applyNumberFormat="1" applyFill="1" applyBorder="1"/>
    <xf numFmtId="2" fontId="0" fillId="9" borderId="21" xfId="0" applyNumberFormat="1" applyFill="1" applyBorder="1"/>
    <xf numFmtId="2" fontId="0" fillId="9" borderId="23" xfId="0" applyNumberFormat="1" applyFill="1" applyBorder="1"/>
    <xf numFmtId="2" fontId="0" fillId="9" borderId="24" xfId="0" applyNumberFormat="1" applyFill="1" applyBorder="1"/>
    <xf numFmtId="0" fontId="0" fillId="9" borderId="18" xfId="0" applyFill="1" applyBorder="1" applyAlignment="1">
      <alignment horizontal="right"/>
    </xf>
    <xf numFmtId="0" fontId="0" fillId="9" borderId="23" xfId="0" applyFill="1" applyBorder="1" applyAlignment="1">
      <alignment horizontal="right"/>
    </xf>
    <xf numFmtId="2" fontId="0" fillId="9" borderId="23" xfId="0" applyNumberFormat="1" applyFill="1" applyBorder="1" applyAlignment="1">
      <alignment horizontal="right"/>
    </xf>
    <xf numFmtId="2" fontId="0" fillId="9" borderId="12" xfId="0" applyNumberFormat="1" applyFill="1" applyBorder="1" applyAlignment="1">
      <alignment horizontal="right"/>
    </xf>
    <xf numFmtId="0" fontId="0" fillId="11" borderId="23" xfId="0" applyFill="1" applyBorder="1" applyAlignment="1">
      <alignment horizontal="right"/>
    </xf>
    <xf numFmtId="2" fontId="0" fillId="11" borderId="23" xfId="0" applyNumberFormat="1" applyFill="1" applyBorder="1" applyAlignment="1">
      <alignment horizontal="right"/>
    </xf>
    <xf numFmtId="164" fontId="0" fillId="10" borderId="21" xfId="0" quotePrefix="1" applyNumberFormat="1" applyFill="1" applyBorder="1"/>
    <xf numFmtId="164" fontId="0" fillId="10" borderId="21" xfId="0" applyNumberFormat="1" applyFill="1" applyBorder="1"/>
    <xf numFmtId="164" fontId="0" fillId="10" borderId="12" xfId="0" applyNumberFormat="1" applyFill="1" applyBorder="1"/>
    <xf numFmtId="0" fontId="0" fillId="10" borderId="35" xfId="0" applyFill="1" applyBorder="1"/>
    <xf numFmtId="0" fontId="0" fillId="10" borderId="36" xfId="0" applyFill="1" applyBorder="1"/>
    <xf numFmtId="2" fontId="0" fillId="10" borderId="36" xfId="0" applyNumberFormat="1" applyFill="1" applyBorder="1"/>
    <xf numFmtId="0" fontId="0" fillId="10" borderId="37" xfId="0" applyFill="1" applyBorder="1"/>
    <xf numFmtId="0" fontId="0" fillId="11" borderId="5" xfId="0" applyFill="1" applyBorder="1"/>
    <xf numFmtId="0" fontId="0" fillId="0" borderId="42" xfId="0" applyBorder="1"/>
    <xf numFmtId="0" fontId="0" fillId="0" borderId="6" xfId="0" applyFill="1" applyBorder="1"/>
    <xf numFmtId="0" fontId="0" fillId="0" borderId="40" xfId="0" applyFill="1" applyBorder="1"/>
    <xf numFmtId="0" fontId="0" fillId="11" borderId="41" xfId="0" applyFill="1" applyBorder="1"/>
    <xf numFmtId="0" fontId="0" fillId="0" borderId="0" xfId="0" applyFill="1" applyBorder="1"/>
    <xf numFmtId="0" fontId="0" fillId="0" borderId="42" xfId="0" applyFill="1" applyBorder="1"/>
    <xf numFmtId="2" fontId="0" fillId="0" borderId="0" xfId="0" applyNumberFormat="1" applyFill="1" applyBorder="1"/>
    <xf numFmtId="0" fontId="0" fillId="0" borderId="38" xfId="0" applyFill="1" applyBorder="1"/>
    <xf numFmtId="0" fontId="0" fillId="0" borderId="19" xfId="0" applyFill="1" applyBorder="1"/>
    <xf numFmtId="0" fontId="0" fillId="6" borderId="41" xfId="0" applyFill="1" applyBorder="1"/>
    <xf numFmtId="0" fontId="0" fillId="6" borderId="17" xfId="0" applyFill="1" applyBorder="1"/>
    <xf numFmtId="0" fontId="0" fillId="12" borderId="22" xfId="0" applyFill="1" applyBorder="1" applyAlignment="1">
      <alignment horizontal="center"/>
    </xf>
    <xf numFmtId="0" fontId="0" fillId="12" borderId="39" xfId="0" applyFill="1" applyBorder="1" applyAlignment="1">
      <alignment horizontal="center"/>
    </xf>
    <xf numFmtId="0" fontId="0" fillId="12" borderId="24" xfId="0" applyFill="1" applyBorder="1" applyAlignment="1">
      <alignment horizontal="center"/>
    </xf>
    <xf numFmtId="0" fontId="0" fillId="9" borderId="17" xfId="0" applyFill="1" applyBorder="1" applyAlignment="1">
      <alignment horizontal="center"/>
    </xf>
    <xf numFmtId="0" fontId="0" fillId="9" borderId="38" xfId="0" applyFill="1" applyBorder="1" applyAlignment="1">
      <alignment horizontal="center"/>
    </xf>
    <xf numFmtId="0" fontId="0" fillId="9" borderId="19"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xf>
    <xf numFmtId="0" fontId="0" fillId="2" borderId="1"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9" borderId="27" xfId="0" applyFill="1" applyBorder="1" applyAlignment="1">
      <alignment horizontal="center"/>
    </xf>
    <xf numFmtId="0" fontId="0" fillId="9" borderId="28" xfId="0" applyFill="1" applyBorder="1" applyAlignment="1">
      <alignment horizontal="center"/>
    </xf>
    <xf numFmtId="0" fontId="0" fillId="0" borderId="0" xfId="0" applyAlignment="1">
      <alignment vertical="top" wrapText="1"/>
    </xf>
    <xf numFmtId="0" fontId="5" fillId="0" borderId="0" xfId="0" applyFont="1" applyAlignment="1">
      <alignment vertical="top" wrapText="1"/>
    </xf>
    <xf numFmtId="0" fontId="0" fillId="0" borderId="0" xfId="0" applyAlignment="1">
      <alignment vertical="center" wrapText="1"/>
    </xf>
    <xf numFmtId="0" fontId="0" fillId="0" borderId="0" xfId="0" applyNumberFormat="1" applyFont="1" applyFill="1" applyBorder="1" applyAlignment="1" applyProtection="1">
      <alignment horizontal="center"/>
    </xf>
  </cellXfs>
  <cellStyles count="2">
    <cellStyle name="Normal" xfId="0" builtinId="0"/>
    <cellStyle name="Normal 2" xfId="1"/>
  </cellStyles>
  <dxfs count="2">
    <dxf>
      <fill>
        <patternFill>
          <bgColor theme="9" tint="0.59996337778862885"/>
        </patternFill>
      </fill>
    </dxf>
    <dxf>
      <fill>
        <patternFill>
          <bgColor theme="9" tint="0.59996337778862885"/>
        </patternFill>
      </fill>
    </dxf>
  </dxfs>
  <tableStyles count="0" defaultTableStyle="TableStyleMedium9" defaultPivotStyle="PivotStyleLight16"/>
  <colors>
    <mruColors>
      <color rgb="FFFFFFCC"/>
      <color rgb="FFCCE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133351</xdr:colOff>
      <xdr:row>0</xdr:row>
      <xdr:rowOff>95250</xdr:rowOff>
    </xdr:from>
    <xdr:to>
      <xdr:col>10</xdr:col>
      <xdr:colOff>114301</xdr:colOff>
      <xdr:row>35</xdr:row>
      <xdr:rowOff>152401</xdr:rowOff>
    </xdr:to>
    <xdr:sp macro="" textlink="">
      <xdr:nvSpPr>
        <xdr:cNvPr id="3" name="TextBox 2"/>
        <xdr:cNvSpPr txBox="1"/>
      </xdr:nvSpPr>
      <xdr:spPr>
        <a:xfrm>
          <a:off x="133351" y="95250"/>
          <a:ext cx="6076950" cy="672465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Spreadsheet</a:t>
          </a:r>
          <a:r>
            <a:rPr lang="en-US" sz="1600" b="1" baseline="0"/>
            <a:t> Interface for the RTU Comparison Calculator</a:t>
          </a:r>
          <a:endParaRPr lang="en-US" sz="1400" b="1"/>
        </a:p>
        <a:p>
          <a:endParaRPr lang="en-US" sz="1400"/>
        </a:p>
        <a:p>
          <a:r>
            <a:rPr lang="en-US" sz="1200"/>
            <a:t>The purpose of the sample-spreadsheet data is to facilitate detailed custom modeling of the full-load and part-load performance of the RTU's condenser (compressor and condenser fan). The RTU's evaporator fan is explicitly modeled in the calculator and its part-load behavior is not characterized by the spreadsheet. Some characteristics of the RTU at rating conditions are imported from the spreadsheet and serve to populate some of the controls in the calculator (e.g. S/T ratio, Power Inputs...).</a:t>
          </a:r>
          <a:endParaRPr lang="en-US" sz="1400">
            <a:effectLst/>
          </a:endParaRPr>
        </a:p>
        <a:p>
          <a:endParaRPr lang="en-US" sz="1400"/>
        </a:p>
        <a:p>
          <a:r>
            <a:rPr lang="en-US" sz="1200"/>
            <a:t>There are three levels of data requirements (first level is required):</a:t>
          </a:r>
        </a:p>
        <a:p>
          <a:endParaRPr lang="en-US" sz="1400"/>
        </a:p>
        <a:p>
          <a:pPr marL="171450" indent="-171450">
            <a:buFont typeface="Courier New" panose="02070309020205020404" pitchFamily="49" charset="0"/>
            <a:buChar char="o"/>
          </a:pPr>
          <a:r>
            <a:rPr lang="en-US" sz="1200" b="1"/>
            <a:t>Full-load total gross capacity and condenser power </a:t>
          </a:r>
          <a:r>
            <a:rPr lang="en-US" sz="1200" b="0"/>
            <a:t>(required)</a:t>
          </a:r>
          <a:r>
            <a:rPr lang="en-US" sz="1200"/>
            <a:t>: This data is readily available from manufacturers' performance tables. Some interpolation might be required as the spreadsheet needs this data at particular operating temperatures. This data alone can be used to replace the generic coil curves. The good news is that the users can build a coil model from this data even if they do not have the additional data described below. There are two control cells in the spreadsheet for facilitating putting NAs in the S/T cells (B20 on the Full-Load Performance sheet) and NAs in the part-load tables (B3 on the Part-Load Performance sheet). The NAs will cause the RTUCC to only use the full-load coil data and activate its native apparatus</a:t>
          </a:r>
          <a:r>
            <a:rPr lang="en-US" sz="1200" baseline="0"/>
            <a:t> </a:t>
          </a:r>
          <a:r>
            <a:rPr lang="en-US" sz="1200"/>
            <a:t>dew-point method for S/T modeling and its native part-load modeling of fans and condensers for estimating part-load performance.</a:t>
          </a:r>
        </a:p>
        <a:p>
          <a:pPr marL="171450" indent="-171450">
            <a:buFont typeface="Courier New" panose="02070309020205020404" pitchFamily="49" charset="0"/>
            <a:buChar char="o"/>
          </a:pPr>
          <a:endParaRPr lang="en-US" sz="1200"/>
        </a:p>
        <a:p>
          <a:pPr marL="171450" indent="-171450">
            <a:buFont typeface="Courier New" panose="02070309020205020404" pitchFamily="49" charset="0"/>
            <a:buChar char="o"/>
          </a:pPr>
          <a:r>
            <a:rPr lang="en-US" sz="1200" b="1"/>
            <a:t>S/T data </a:t>
          </a:r>
          <a:r>
            <a:rPr lang="en-US" sz="1200" b="0"/>
            <a:t>(optional)</a:t>
          </a:r>
          <a:r>
            <a:rPr lang="en-US" sz="1200"/>
            <a:t>: The sensible-to-total capacity ratios are also generally available from manufacturers. However the native S/T modeling in the calculator is capable of accounting for changing evaporator flow and condenser capacity levels. For this reason, the spreadsheet's S/T model is only recommended for systems with a single-stage and a single-speed evaporator fan.</a:t>
          </a:r>
        </a:p>
        <a:p>
          <a:pPr marL="285750" indent="-285750">
            <a:buFont typeface="Courier New" panose="02070309020205020404" pitchFamily="49" charset="0"/>
            <a:buChar char="o"/>
          </a:pPr>
          <a:endParaRPr lang="en-US" sz="1400"/>
        </a:p>
        <a:p>
          <a:pPr marL="171450" indent="-171450">
            <a:buFont typeface="Courier New" panose="02070309020205020404" pitchFamily="49" charset="0"/>
            <a:buChar char="o"/>
          </a:pPr>
          <a:r>
            <a:rPr lang="en-US" sz="1200" b="1"/>
            <a:t>Part-load data </a:t>
          </a:r>
          <a:r>
            <a:rPr lang="en-US" sz="1200" b="0"/>
            <a:t>(optional)</a:t>
          </a:r>
          <a:r>
            <a:rPr lang="en-US" sz="1200"/>
            <a:t>: This type of tabulated data is currently not available for the public from manufacturers. As a result this portion of the spreadsheet is only a prototype and demonstrates how this part-load data could be structured in a way related to IEER calculations. The B3 cell on the part-load sheet can be used to turn this off (fill with NAs) or show example values that are generated with consideration for the part-load nature of a single-stage unit and a variable-capacity unit.</a:t>
          </a:r>
        </a:p>
      </xdr:txBody>
    </xdr:sp>
    <xdr:clientData/>
  </xdr:twoCellAnchor>
  <xdr:twoCellAnchor>
    <xdr:from>
      <xdr:col>10</xdr:col>
      <xdr:colOff>247650</xdr:colOff>
      <xdr:row>0</xdr:row>
      <xdr:rowOff>104775</xdr:rowOff>
    </xdr:from>
    <xdr:to>
      <xdr:col>18</xdr:col>
      <xdr:colOff>209550</xdr:colOff>
      <xdr:row>35</xdr:row>
      <xdr:rowOff>161925</xdr:rowOff>
    </xdr:to>
    <xdr:sp macro="" textlink="">
      <xdr:nvSpPr>
        <xdr:cNvPr id="2" name="TextBox 1"/>
        <xdr:cNvSpPr txBox="1"/>
      </xdr:nvSpPr>
      <xdr:spPr>
        <a:xfrm>
          <a:off x="6343650" y="104775"/>
          <a:ext cx="4838700" cy="67246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i="0">
              <a:solidFill>
                <a:schemeClr val="dk1"/>
              </a:solidFill>
              <a:effectLst/>
              <a:latin typeface="+mn-lt"/>
              <a:ea typeface="+mn-ea"/>
              <a:cs typeface="+mn-cs"/>
            </a:rPr>
            <a:t>This</a:t>
          </a:r>
          <a:r>
            <a:rPr lang="en-US" sz="1200" i="0" baseline="0">
              <a:solidFill>
                <a:schemeClr val="dk1"/>
              </a:solidFill>
              <a:effectLst/>
              <a:latin typeface="+mn-lt"/>
              <a:ea typeface="+mn-ea"/>
              <a:cs typeface="+mn-cs"/>
            </a:rPr>
            <a:t> latest</a:t>
          </a:r>
          <a:r>
            <a:rPr lang="en-US" sz="1200" i="0">
              <a:solidFill>
                <a:schemeClr val="dk1"/>
              </a:solidFill>
              <a:effectLst/>
              <a:latin typeface="+mn-lt"/>
              <a:ea typeface="+mn-ea"/>
              <a:cs typeface="+mn-cs"/>
            </a:rPr>
            <a:t> version of the sample spreadsheet has taken coil characteristic (capacity and condenser-power data) of an “old constant speed RTU” to build a regression model of the full-load performance of this unit. These full-load models are implemented in this spreadsheet using Visual Basic code.</a:t>
          </a:r>
          <a:endParaRPr lang="en-US" sz="1200">
            <a:effectLst/>
          </a:endParaRPr>
        </a:p>
        <a:p>
          <a:r>
            <a:rPr lang="en-US" sz="1200" i="0">
              <a:solidFill>
                <a:schemeClr val="dk1"/>
              </a:solidFill>
              <a:effectLst/>
              <a:latin typeface="+mn-lt"/>
              <a:ea typeface="+mn-ea"/>
              <a:cs typeface="+mn-cs"/>
            </a:rPr>
            <a:t> </a:t>
          </a:r>
          <a:endParaRPr lang="en-US" sz="1200">
            <a:effectLst/>
          </a:endParaRPr>
        </a:p>
        <a:p>
          <a:r>
            <a:rPr lang="en-US" sz="1200" i="0">
              <a:solidFill>
                <a:schemeClr val="dk1"/>
              </a:solidFill>
              <a:effectLst/>
              <a:latin typeface="+mn-lt"/>
              <a:ea typeface="+mn-ea"/>
              <a:cs typeface="+mn-cs"/>
            </a:rPr>
            <a:t>These full-load models can then be projected to estimate the part-load performance of a variable-speed system (i.e. based on the same coils) by using the following assumptions: (1) as the system unloads, the compressor power scales with the capacity and the condenser fan follows fan-affinity laws (cubic), and (2) the variable-speed system does not cycle; so no part-load degradation. To calculate this part-load performance, the fraction of the condenser power that is from the condenser fan (at rating conditions) must be known or estimated. </a:t>
          </a:r>
          <a:endParaRPr lang="en-US" sz="1200">
            <a:effectLst/>
          </a:endParaRPr>
        </a:p>
        <a:p>
          <a:r>
            <a:rPr lang="en-US" sz="1200" i="0">
              <a:solidFill>
                <a:schemeClr val="dk1"/>
              </a:solidFill>
              <a:effectLst/>
              <a:latin typeface="+mn-lt"/>
              <a:ea typeface="+mn-ea"/>
              <a:cs typeface="+mn-cs"/>
            </a:rPr>
            <a:t> </a:t>
          </a:r>
          <a:endParaRPr lang="en-US" sz="1200">
            <a:effectLst/>
          </a:endParaRPr>
        </a:p>
        <a:p>
          <a:r>
            <a:rPr lang="en-US" sz="1200" i="0">
              <a:solidFill>
                <a:schemeClr val="dk1"/>
              </a:solidFill>
              <a:effectLst/>
              <a:latin typeface="+mn-lt"/>
              <a:ea typeface="+mn-ea"/>
              <a:cs typeface="+mn-cs"/>
            </a:rPr>
            <a:t>This spreadsheet also does some related modeling of the evaporator fan (under partial load) to support populating the “EER Values as affected by Load and ODB” table. However, the export from the spreadsheet to the RTUCC calculator is the condenser data which is regressed into a condenser model by the RTUCC.</a:t>
          </a:r>
          <a:endParaRPr lang="en-US" sz="1200">
            <a:effectLst/>
          </a:endParaRPr>
        </a:p>
        <a:p>
          <a:r>
            <a:rPr lang="en-US" sz="1200" i="0">
              <a:solidFill>
                <a:schemeClr val="dk1"/>
              </a:solidFill>
              <a:effectLst/>
              <a:latin typeface="+mn-lt"/>
              <a:ea typeface="+mn-ea"/>
              <a:cs typeface="+mn-cs"/>
            </a:rPr>
            <a:t> </a:t>
          </a:r>
          <a:endParaRPr lang="en-US" sz="1200">
            <a:effectLst/>
          </a:endParaRPr>
        </a:p>
        <a:p>
          <a:r>
            <a:rPr lang="en-US" sz="1200" i="0">
              <a:solidFill>
                <a:schemeClr val="dk1"/>
              </a:solidFill>
              <a:effectLst/>
              <a:latin typeface="+mn-lt"/>
              <a:ea typeface="+mn-ea"/>
              <a:cs typeface="+mn-cs"/>
            </a:rPr>
            <a:t>This part-load behavior is only an estimate and is included to show what part-load data might look like. Ideally, in the future, manufacturers would provide this part-load data for use in the calculator.</a:t>
          </a:r>
          <a:endParaRPr lang="en-US" sz="1200">
            <a:effectLst/>
          </a:endParaRPr>
        </a:p>
        <a:p>
          <a:endParaRPr lang="en-US" sz="1200" i="0">
            <a:solidFill>
              <a:schemeClr val="dk1"/>
            </a:solidFill>
            <a:effectLst/>
            <a:latin typeface="+mn-lt"/>
            <a:ea typeface="+mn-ea"/>
            <a:cs typeface="+mn-cs"/>
          </a:endParaRPr>
        </a:p>
        <a:p>
          <a:r>
            <a:rPr lang="en-US" sz="1200" i="0">
              <a:solidFill>
                <a:schemeClr val="dk1"/>
              </a:solidFill>
              <a:effectLst/>
              <a:latin typeface="+mn-lt"/>
              <a:ea typeface="+mn-ea"/>
              <a:cs typeface="+mn-cs"/>
            </a:rPr>
            <a:t>Note that instructions</a:t>
          </a:r>
          <a:r>
            <a:rPr lang="en-US" sz="1200" i="0" baseline="0">
              <a:solidFill>
                <a:schemeClr val="dk1"/>
              </a:solidFill>
              <a:effectLst/>
              <a:latin typeface="+mn-lt"/>
              <a:ea typeface="+mn-ea"/>
              <a:cs typeface="+mn-cs"/>
            </a:rPr>
            <a:t> for using the spreadsheet can be viewed from the help link (question mark) next to the "Spreadsheet data" control on the RTUCC's control page.</a:t>
          </a:r>
          <a:endParaRPr lang="en-US" sz="1200">
            <a:effectLst/>
          </a:endParaRP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66674</xdr:colOff>
      <xdr:row>26</xdr:row>
      <xdr:rowOff>9526</xdr:rowOff>
    </xdr:from>
    <xdr:ext cx="9610725" cy="800100"/>
    <xdr:sp macro="" textlink="">
      <xdr:nvSpPr>
        <xdr:cNvPr id="2" name="TextBox 1"/>
        <xdr:cNvSpPr txBox="1"/>
      </xdr:nvSpPr>
      <xdr:spPr>
        <a:xfrm>
          <a:off x="66674" y="4752976"/>
          <a:ext cx="9610725" cy="80010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rgbClr val="FF0000"/>
              </a:solidFill>
            </a:rPr>
            <a:t>Note: Calculated values</a:t>
          </a:r>
          <a:r>
            <a:rPr lang="en-US" sz="1100" baseline="0">
              <a:solidFill>
                <a:srgbClr val="FF0000"/>
              </a:solidFill>
            </a:rPr>
            <a:t> in the table cells </a:t>
          </a:r>
          <a:r>
            <a:rPr lang="en-US" sz="1100">
              <a:solidFill>
                <a:srgbClr val="FF0000"/>
              </a:solidFill>
            </a:rPr>
            <a:t>are only examples and do not necessarily reflect the part-load performance of any</a:t>
          </a:r>
          <a:r>
            <a:rPr lang="en-US" sz="1100" baseline="0">
              <a:solidFill>
                <a:srgbClr val="FF0000"/>
              </a:solidFill>
            </a:rPr>
            <a:t> </a:t>
          </a:r>
          <a:r>
            <a:rPr lang="en-US" sz="1100">
              <a:solidFill>
                <a:srgbClr val="FF0000"/>
              </a:solidFill>
            </a:rPr>
            <a:t>unit. If</a:t>
          </a:r>
          <a:r>
            <a:rPr lang="en-US" sz="1100" baseline="0">
              <a:solidFill>
                <a:srgbClr val="FF0000"/>
              </a:solidFill>
            </a:rPr>
            <a:t> actual values are available, simply clear out these cells </a:t>
          </a:r>
          <a:r>
            <a:rPr lang="en-US" sz="1100" baseline="0">
              <a:solidFill>
                <a:srgbClr val="FF0000"/>
              </a:solidFill>
              <a:effectLst/>
              <a:latin typeface="+mn-lt"/>
              <a:ea typeface="+mn-ea"/>
              <a:cs typeface="+mn-cs"/>
            </a:rPr>
            <a:t>(i.e., select "Clear" in cell B3) </a:t>
          </a:r>
          <a:r>
            <a:rPr lang="en-US" sz="1100" baseline="0">
              <a:solidFill>
                <a:srgbClr val="FF0000"/>
              </a:solidFill>
            </a:rPr>
            <a:t>and then type values in the cells where actual values are known. Alternatively, clear the cells and leave all of them set to NA, which will cause the RTUCC to do explicit condenser modeling on its own. Clearing out these cells will cause only full-load data to be exported from the spreadsheet.</a:t>
          </a:r>
          <a:endParaRPr lang="en-US" sz="1100">
            <a:solidFill>
              <a:srgbClr val="FF0000"/>
            </a:solidFill>
          </a:endParaRPr>
        </a:p>
      </xdr:txBody>
    </xdr:sp>
    <xdr:clientData/>
  </xdr:oneCellAnchor>
  <xdr:twoCellAnchor>
    <xdr:from>
      <xdr:col>6</xdr:col>
      <xdr:colOff>219075</xdr:colOff>
      <xdr:row>0</xdr:row>
      <xdr:rowOff>47625</xdr:rowOff>
    </xdr:from>
    <xdr:to>
      <xdr:col>17</xdr:col>
      <xdr:colOff>400051</xdr:colOff>
      <xdr:row>5</xdr:row>
      <xdr:rowOff>19050</xdr:rowOff>
    </xdr:to>
    <xdr:sp macro="" textlink="">
      <xdr:nvSpPr>
        <xdr:cNvPr id="3" name="TextBox 2"/>
        <xdr:cNvSpPr txBox="1"/>
      </xdr:nvSpPr>
      <xdr:spPr>
        <a:xfrm>
          <a:off x="3295650" y="47625"/>
          <a:ext cx="6429376" cy="857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These four cells control the calculation below. The "Mode" cell establishes the system type and affects the conditional formatting (background color) in the other three cells. A grey background indicates that cell is not affecting the calculations. Defaults values  and definitions are in the cell comments (mouse over the cell). </a:t>
          </a:r>
          <a:r>
            <a:rPr lang="en-US"/>
            <a:t> Click on cell B3</a:t>
          </a:r>
          <a:r>
            <a:rPr lang="en-US" baseline="0"/>
            <a:t> to get a pull down menu to set the mode.</a:t>
          </a:r>
          <a:endParaRPr lang="en-US" sz="1100"/>
        </a:p>
      </xdr:txBody>
    </xdr:sp>
    <xdr:clientData/>
  </xdr:twoCellAnchor>
  <xdr:twoCellAnchor>
    <xdr:from>
      <xdr:col>6</xdr:col>
      <xdr:colOff>219074</xdr:colOff>
      <xdr:row>3</xdr:row>
      <xdr:rowOff>323849</xdr:rowOff>
    </xdr:from>
    <xdr:to>
      <xdr:col>17</xdr:col>
      <xdr:colOff>400049</xdr:colOff>
      <xdr:row>8</xdr:row>
      <xdr:rowOff>171451</xdr:rowOff>
    </xdr:to>
    <xdr:sp macro="" textlink="">
      <xdr:nvSpPr>
        <xdr:cNvPr id="4" name="TextBox 3"/>
        <xdr:cNvSpPr txBox="1"/>
      </xdr:nvSpPr>
      <xdr:spPr>
        <a:xfrm>
          <a:off x="3295649" y="942974"/>
          <a:ext cx="6429375" cy="8001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The EER values in this table shall be determined according to the methods specified in AHRI Standard 340/360-2007, Section 6.2, </a:t>
          </a:r>
          <a:r>
            <a:rPr lang="en-US" sz="1100" b="0" i="1" u="none" strike="noStrike">
              <a:solidFill>
                <a:schemeClr val="dk1"/>
              </a:solidFill>
              <a:effectLst/>
              <a:latin typeface="+mn-lt"/>
              <a:ea typeface="+mn-ea"/>
              <a:cs typeface="+mn-cs"/>
            </a:rPr>
            <a:t>Part-Load Rating</a:t>
          </a:r>
          <a:r>
            <a:rPr lang="en-US" sz="1100" b="0" i="0" u="none" strike="noStrike">
              <a:solidFill>
                <a:schemeClr val="dk1"/>
              </a:solidFill>
              <a:effectLst/>
              <a:latin typeface="+mn-lt"/>
              <a:ea typeface="+mn-ea"/>
              <a:cs typeface="+mn-cs"/>
            </a:rPr>
            <a:t>. The Integrated Energy Efficiency Ratio, calculated according to the Standard with the values in the green cells, must equal to the published AHRI listed IEER value for this unit. </a:t>
          </a:r>
          <a:r>
            <a:rPr lang="en-US"/>
            <a:t>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123825</xdr:rowOff>
    </xdr:from>
    <xdr:to>
      <xdr:col>8</xdr:col>
      <xdr:colOff>523875</xdr:colOff>
      <xdr:row>30</xdr:row>
      <xdr:rowOff>57150</xdr:rowOff>
    </xdr:to>
    <xdr:pic>
      <xdr:nvPicPr>
        <xdr:cNvPr id="5121" name="Picture 1"/>
        <xdr:cNvPicPr>
          <a:picLocks noChangeAspect="1" noChangeArrowheads="1"/>
        </xdr:cNvPicPr>
      </xdr:nvPicPr>
      <xdr:blipFill>
        <a:blip xmlns:r="http://schemas.openxmlformats.org/officeDocument/2006/relationships" r:embed="rId1"/>
        <a:srcRect/>
        <a:stretch>
          <a:fillRect/>
        </a:stretch>
      </xdr:blipFill>
      <xdr:spPr bwMode="auto">
        <a:xfrm>
          <a:off x="0" y="504825"/>
          <a:ext cx="5010150" cy="5267325"/>
        </a:xfrm>
        <a:prstGeom prst="rect">
          <a:avLst/>
        </a:prstGeom>
        <a:noFill/>
        <a:ln w="1">
          <a:noFill/>
          <a:miter lim="800000"/>
          <a:headEnd/>
          <a:tailEnd type="none" w="med" len="med"/>
        </a:ln>
        <a:effectLst/>
      </xdr:spPr>
    </xdr:pic>
    <xdr:clientData/>
  </xdr:twoCellAnchor>
  <xdr:twoCellAnchor editAs="oneCell">
    <xdr:from>
      <xdr:col>9</xdr:col>
      <xdr:colOff>76200</xdr:colOff>
      <xdr:row>3</xdr:row>
      <xdr:rowOff>171450</xdr:rowOff>
    </xdr:from>
    <xdr:to>
      <xdr:col>25</xdr:col>
      <xdr:colOff>219075</xdr:colOff>
      <xdr:row>19</xdr:row>
      <xdr:rowOff>85725</xdr:rowOff>
    </xdr:to>
    <xdr:pic>
      <xdr:nvPicPr>
        <xdr:cNvPr id="5122" name="Picture 2"/>
        <xdr:cNvPicPr>
          <a:picLocks noChangeAspect="1" noChangeArrowheads="1"/>
        </xdr:cNvPicPr>
      </xdr:nvPicPr>
      <xdr:blipFill>
        <a:blip xmlns:r="http://schemas.openxmlformats.org/officeDocument/2006/relationships" r:embed="rId2"/>
        <a:srcRect/>
        <a:stretch>
          <a:fillRect/>
        </a:stretch>
      </xdr:blipFill>
      <xdr:spPr bwMode="auto">
        <a:xfrm>
          <a:off x="5172075" y="742950"/>
          <a:ext cx="9896475" cy="2962275"/>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abSelected="1" workbookViewId="0">
      <selection activeCell="J37" sqref="J37"/>
    </sheetView>
  </sheetViews>
  <sheetFormatPr defaultRowHeight="15" x14ac:dyDescent="0.25"/>
  <cols>
    <col min="1" max="2" width="9.140625" customWidth="1"/>
  </cols>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F20"/>
  <sheetViews>
    <sheetView workbookViewId="0">
      <selection activeCell="B23" sqref="B23"/>
    </sheetView>
  </sheetViews>
  <sheetFormatPr defaultRowHeight="15" x14ac:dyDescent="0.25"/>
  <cols>
    <col min="1" max="1" width="2.28515625" customWidth="1"/>
    <col min="2" max="2" width="5" bestFit="1" customWidth="1"/>
    <col min="3" max="3" width="4.28515625" bestFit="1" customWidth="1"/>
    <col min="4" max="4" width="6.140625" bestFit="1" customWidth="1"/>
    <col min="5" max="7" width="5" bestFit="1" customWidth="1"/>
    <col min="8" max="8" width="4.28515625" bestFit="1" customWidth="1"/>
    <col min="9" max="9" width="6.140625" bestFit="1" customWidth="1"/>
    <col min="10" max="12" width="3" bestFit="1" customWidth="1"/>
    <col min="13" max="13" width="6.5703125" bestFit="1" customWidth="1"/>
    <col min="14" max="14" width="6.140625" bestFit="1" customWidth="1"/>
    <col min="15" max="17" width="5" bestFit="1" customWidth="1"/>
    <col min="18" max="18" width="6.5703125" bestFit="1" customWidth="1"/>
    <col min="19" max="19" width="6" bestFit="1" customWidth="1"/>
    <col min="20" max="22" width="5" bestFit="1" customWidth="1"/>
    <col min="23" max="23" width="6" bestFit="1" customWidth="1"/>
    <col min="24" max="24" width="6.5703125" bestFit="1" customWidth="1"/>
    <col min="25" max="27" width="5.5703125" bestFit="1" customWidth="1"/>
    <col min="28" max="28" width="7.5703125" bestFit="1" customWidth="1"/>
    <col min="29" max="29" width="6.5703125" bestFit="1" customWidth="1"/>
    <col min="30" max="32" width="5.5703125" bestFit="1" customWidth="1"/>
  </cols>
  <sheetData>
    <row r="1" spans="2:32" ht="9" customHeight="1" thickBot="1" x14ac:dyDescent="0.3"/>
    <row r="2" spans="2:32" x14ac:dyDescent="0.25">
      <c r="C2" s="114" t="s">
        <v>6</v>
      </c>
      <c r="D2" s="109"/>
      <c r="E2" s="109"/>
      <c r="F2" s="109"/>
      <c r="G2" s="109"/>
      <c r="H2" s="114" t="s">
        <v>7</v>
      </c>
      <c r="I2" s="109"/>
      <c r="J2" s="109"/>
      <c r="K2" s="109"/>
      <c r="L2" s="110"/>
      <c r="M2" s="114" t="s">
        <v>9</v>
      </c>
      <c r="N2" s="109"/>
      <c r="O2" s="109"/>
      <c r="P2" s="109"/>
      <c r="Q2" s="110"/>
      <c r="R2" s="114" t="s">
        <v>10</v>
      </c>
      <c r="S2" s="109"/>
      <c r="T2" s="109"/>
      <c r="U2" s="109"/>
      <c r="V2" s="110"/>
      <c r="W2" s="114" t="s">
        <v>11</v>
      </c>
      <c r="X2" s="109"/>
      <c r="Y2" s="109"/>
      <c r="Z2" s="109"/>
      <c r="AA2" s="110"/>
      <c r="AB2" s="109" t="s">
        <v>12</v>
      </c>
      <c r="AC2" s="109"/>
      <c r="AD2" s="109"/>
      <c r="AE2" s="109"/>
      <c r="AF2" s="110"/>
    </row>
    <row r="3" spans="2:32" ht="15.75" thickBot="1" x14ac:dyDescent="0.3">
      <c r="C3" s="2"/>
      <c r="D3" s="1"/>
      <c r="E3" s="111" t="s">
        <v>5</v>
      </c>
      <c r="F3" s="112"/>
      <c r="G3" s="112"/>
      <c r="H3" s="2"/>
      <c r="I3" s="1"/>
      <c r="J3" s="111" t="s">
        <v>5</v>
      </c>
      <c r="K3" s="112"/>
      <c r="L3" s="113"/>
      <c r="M3" s="2"/>
      <c r="N3" s="1"/>
      <c r="O3" s="111" t="s">
        <v>5</v>
      </c>
      <c r="P3" s="112"/>
      <c r="Q3" s="113"/>
      <c r="R3" s="2"/>
      <c r="S3" s="1"/>
      <c r="T3" s="111" t="s">
        <v>5</v>
      </c>
      <c r="U3" s="112"/>
      <c r="V3" s="113"/>
      <c r="W3" s="2"/>
      <c r="X3" s="1"/>
      <c r="Y3" s="111" t="s">
        <v>5</v>
      </c>
      <c r="Z3" s="112"/>
      <c r="AA3" s="113"/>
      <c r="AB3" s="1"/>
      <c r="AC3" s="1"/>
      <c r="AD3" s="111" t="s">
        <v>5</v>
      </c>
      <c r="AE3" s="112"/>
      <c r="AF3" s="113"/>
    </row>
    <row r="4" spans="2:32" ht="15.75" thickBot="1" x14ac:dyDescent="0.3">
      <c r="B4" s="11" t="s">
        <v>8</v>
      </c>
      <c r="C4" s="6" t="s">
        <v>4</v>
      </c>
      <c r="D4" s="7" t="s">
        <v>45</v>
      </c>
      <c r="E4" s="7">
        <v>75</v>
      </c>
      <c r="F4" s="7">
        <v>80</v>
      </c>
      <c r="G4" s="8">
        <v>85</v>
      </c>
      <c r="H4" s="6" t="s">
        <v>4</v>
      </c>
      <c r="I4" s="7" t="s">
        <v>45</v>
      </c>
      <c r="J4" s="7">
        <v>75</v>
      </c>
      <c r="K4" s="7">
        <v>80</v>
      </c>
      <c r="L4" s="9">
        <v>85</v>
      </c>
      <c r="M4" s="6" t="s">
        <v>4</v>
      </c>
      <c r="N4" s="7" t="s">
        <v>45</v>
      </c>
      <c r="O4" s="7">
        <v>75</v>
      </c>
      <c r="P4" s="7">
        <v>80</v>
      </c>
      <c r="Q4" s="9">
        <v>85</v>
      </c>
      <c r="R4" s="6" t="s">
        <v>4</v>
      </c>
      <c r="S4" s="7" t="s">
        <v>45</v>
      </c>
      <c r="T4" s="7">
        <v>75</v>
      </c>
      <c r="U4" s="7">
        <v>80</v>
      </c>
      <c r="V4" s="9">
        <v>85</v>
      </c>
      <c r="W4" s="6" t="s">
        <v>4</v>
      </c>
      <c r="X4" s="7" t="s">
        <v>45</v>
      </c>
      <c r="Y4" s="7">
        <v>75</v>
      </c>
      <c r="Z4" s="7">
        <v>80</v>
      </c>
      <c r="AA4" s="9">
        <v>85</v>
      </c>
      <c r="AB4" s="10" t="s">
        <v>4</v>
      </c>
      <c r="AC4" s="7" t="s">
        <v>45</v>
      </c>
      <c r="AD4" s="7">
        <v>75</v>
      </c>
      <c r="AE4" s="7">
        <v>80</v>
      </c>
      <c r="AF4" s="9">
        <v>85</v>
      </c>
    </row>
    <row r="5" spans="2:32" x14ac:dyDescent="0.25">
      <c r="B5" s="12">
        <v>63</v>
      </c>
      <c r="C5" s="45" t="s">
        <v>66</v>
      </c>
      <c r="D5" s="46" t="s">
        <v>66</v>
      </c>
      <c r="E5" s="46" t="s">
        <v>66</v>
      </c>
      <c r="F5" s="46" t="s">
        <v>66</v>
      </c>
      <c r="G5" s="47" t="s">
        <v>66</v>
      </c>
      <c r="H5" s="45" t="s">
        <v>66</v>
      </c>
      <c r="I5" s="46" t="s">
        <v>66</v>
      </c>
      <c r="J5" s="46" t="s">
        <v>66</v>
      </c>
      <c r="K5" s="46" t="s">
        <v>66</v>
      </c>
      <c r="L5" s="48" t="s">
        <v>66</v>
      </c>
      <c r="M5" s="49">
        <v>182.9</v>
      </c>
      <c r="N5" s="46">
        <v>14.95</v>
      </c>
      <c r="O5" s="46">
        <v>0.76</v>
      </c>
      <c r="P5" s="46">
        <v>0.92</v>
      </c>
      <c r="Q5" s="48">
        <v>1</v>
      </c>
      <c r="R5" s="49">
        <v>176.1</v>
      </c>
      <c r="S5" s="46">
        <v>16.39</v>
      </c>
      <c r="T5" s="46">
        <v>0.77</v>
      </c>
      <c r="U5" s="46">
        <v>0.94</v>
      </c>
      <c r="V5" s="48">
        <v>1</v>
      </c>
      <c r="W5" s="45">
        <v>169.3</v>
      </c>
      <c r="X5" s="68">
        <v>18.04</v>
      </c>
      <c r="Y5" s="68">
        <v>0.79</v>
      </c>
      <c r="Z5" s="68">
        <v>0.96</v>
      </c>
      <c r="AA5" s="69">
        <v>1</v>
      </c>
      <c r="AB5" s="70">
        <v>162.30000000000001</v>
      </c>
      <c r="AC5" s="68">
        <v>19.91</v>
      </c>
      <c r="AD5" s="68">
        <v>0.81</v>
      </c>
      <c r="AE5" s="68">
        <v>0.98</v>
      </c>
      <c r="AF5" s="69">
        <v>1</v>
      </c>
    </row>
    <row r="6" spans="2:32" x14ac:dyDescent="0.25">
      <c r="B6" s="12">
        <v>67</v>
      </c>
      <c r="C6" s="50" t="s">
        <v>66</v>
      </c>
      <c r="D6" s="51" t="s">
        <v>66</v>
      </c>
      <c r="E6" s="51" t="s">
        <v>66</v>
      </c>
      <c r="F6" s="51" t="s">
        <v>66</v>
      </c>
      <c r="G6" s="52" t="s">
        <v>66</v>
      </c>
      <c r="H6" s="50" t="s">
        <v>66</v>
      </c>
      <c r="I6" s="51" t="s">
        <v>66</v>
      </c>
      <c r="J6" s="51" t="s">
        <v>66</v>
      </c>
      <c r="K6" s="51" t="s">
        <v>66</v>
      </c>
      <c r="L6" s="53" t="s">
        <v>66</v>
      </c>
      <c r="M6" s="54">
        <v>193</v>
      </c>
      <c r="N6" s="51">
        <v>15.18</v>
      </c>
      <c r="O6" s="51">
        <v>0.57999999999999996</v>
      </c>
      <c r="P6" s="51">
        <v>0.73</v>
      </c>
      <c r="Q6" s="53">
        <v>0.89</v>
      </c>
      <c r="R6" s="17">
        <v>186</v>
      </c>
      <c r="S6" s="15">
        <v>16.64</v>
      </c>
      <c r="T6" s="51">
        <v>0.59</v>
      </c>
      <c r="U6" s="21">
        <v>0.75</v>
      </c>
      <c r="V6" s="53">
        <v>0.91</v>
      </c>
      <c r="W6" s="50">
        <v>178.4</v>
      </c>
      <c r="X6" s="75">
        <v>18.309999999999999</v>
      </c>
      <c r="Y6" s="75">
        <v>0.6</v>
      </c>
      <c r="Z6" s="75">
        <v>0.76</v>
      </c>
      <c r="AA6" s="76">
        <v>0.93</v>
      </c>
      <c r="AB6" s="77">
        <v>170.7</v>
      </c>
      <c r="AC6" s="75">
        <v>20.190000000000001</v>
      </c>
      <c r="AD6" s="75">
        <v>0.61</v>
      </c>
      <c r="AE6" s="75">
        <v>0.78</v>
      </c>
      <c r="AF6" s="76">
        <v>0.95</v>
      </c>
    </row>
    <row r="7" spans="2:32" ht="15.75" thickBot="1" x14ac:dyDescent="0.3">
      <c r="B7" s="13">
        <v>71</v>
      </c>
      <c r="C7" s="55" t="s">
        <v>66</v>
      </c>
      <c r="D7" s="56" t="s">
        <v>66</v>
      </c>
      <c r="E7" s="56" t="s">
        <v>66</v>
      </c>
      <c r="F7" s="56" t="s">
        <v>66</v>
      </c>
      <c r="G7" s="57" t="s">
        <v>66</v>
      </c>
      <c r="H7" s="55" t="s">
        <v>66</v>
      </c>
      <c r="I7" s="56" t="s">
        <v>66</v>
      </c>
      <c r="J7" s="56" t="s">
        <v>66</v>
      </c>
      <c r="K7" s="56" t="s">
        <v>66</v>
      </c>
      <c r="L7" s="58" t="s">
        <v>66</v>
      </c>
      <c r="M7" s="55">
        <v>205.2</v>
      </c>
      <c r="N7" s="56">
        <v>15.47</v>
      </c>
      <c r="O7" s="56">
        <v>0.42</v>
      </c>
      <c r="P7" s="56">
        <v>0.56999999999999995</v>
      </c>
      <c r="Q7" s="58">
        <v>0.71</v>
      </c>
      <c r="R7" s="71">
        <v>197.8</v>
      </c>
      <c r="S7" s="56">
        <v>16.93</v>
      </c>
      <c r="T7" s="56">
        <v>0.43</v>
      </c>
      <c r="U7" s="56">
        <v>0.57999999999999996</v>
      </c>
      <c r="V7" s="58">
        <v>0.72</v>
      </c>
      <c r="W7" s="55">
        <v>189.9</v>
      </c>
      <c r="X7" s="72">
        <v>18.600000000000001</v>
      </c>
      <c r="Y7" s="72">
        <v>0.43</v>
      </c>
      <c r="Z7" s="72">
        <v>0.57999999999999996</v>
      </c>
      <c r="AA7" s="73">
        <v>0.74</v>
      </c>
      <c r="AB7" s="74">
        <v>181.6</v>
      </c>
      <c r="AC7" s="72">
        <v>20.54</v>
      </c>
      <c r="AD7" s="72">
        <v>0.44</v>
      </c>
      <c r="AE7" s="72">
        <v>0.6</v>
      </c>
      <c r="AF7" s="73">
        <v>0.76</v>
      </c>
    </row>
    <row r="8" spans="2:32" ht="10.5" customHeight="1" x14ac:dyDescent="0.25"/>
    <row r="9" spans="2:32" ht="15.75" thickBot="1" x14ac:dyDescent="0.3">
      <c r="B9" t="s">
        <v>46</v>
      </c>
    </row>
    <row r="10" spans="2:32" ht="15.75" thickBot="1" x14ac:dyDescent="0.3">
      <c r="B10" s="115" t="s">
        <v>3</v>
      </c>
      <c r="C10" s="116"/>
      <c r="D10" s="116"/>
      <c r="E10" s="117">
        <v>6000</v>
      </c>
      <c r="F10" s="117"/>
      <c r="G10" s="118"/>
    </row>
    <row r="12" spans="2:32" x14ac:dyDescent="0.25">
      <c r="B12" t="s">
        <v>23</v>
      </c>
    </row>
    <row r="14" spans="2:32" x14ac:dyDescent="0.25">
      <c r="B14" t="s">
        <v>71</v>
      </c>
    </row>
    <row r="16" spans="2:32" x14ac:dyDescent="0.25">
      <c r="B16" s="36" t="s">
        <v>94</v>
      </c>
    </row>
    <row r="17" spans="2:6" ht="12" customHeight="1" x14ac:dyDescent="0.25"/>
    <row r="18" spans="2:6" ht="9.75" customHeight="1" x14ac:dyDescent="0.25"/>
    <row r="19" spans="2:6" x14ac:dyDescent="0.25">
      <c r="B19" s="103" t="s">
        <v>90</v>
      </c>
      <c r="C19" s="104"/>
      <c r="D19" s="105"/>
      <c r="F19" s="41" t="s">
        <v>89</v>
      </c>
    </row>
    <row r="20" spans="2:6" x14ac:dyDescent="0.25">
      <c r="B20" s="106" t="s">
        <v>89</v>
      </c>
      <c r="C20" s="107"/>
      <c r="D20" s="108"/>
      <c r="F20" s="41" t="s">
        <v>91</v>
      </c>
    </row>
  </sheetData>
  <mergeCells count="16">
    <mergeCell ref="B19:D19"/>
    <mergeCell ref="B20:D20"/>
    <mergeCell ref="AB2:AF2"/>
    <mergeCell ref="AD3:AF3"/>
    <mergeCell ref="W2:AA2"/>
    <mergeCell ref="Y3:AA3"/>
    <mergeCell ref="B10:D10"/>
    <mergeCell ref="E10:G10"/>
    <mergeCell ref="M2:Q2"/>
    <mergeCell ref="O3:Q3"/>
    <mergeCell ref="R2:V2"/>
    <mergeCell ref="T3:V3"/>
    <mergeCell ref="E3:G3"/>
    <mergeCell ref="C2:G2"/>
    <mergeCell ref="H2:L2"/>
    <mergeCell ref="J3:L3"/>
  </mergeCells>
  <dataValidations count="1">
    <dataValidation type="list" allowBlank="1" showInputMessage="1" showErrorMessage="1" sqref="B20">
      <formula1>Clear_STR</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C14"/>
  <sheetViews>
    <sheetView workbookViewId="0">
      <selection activeCell="B16" sqref="B16"/>
    </sheetView>
  </sheetViews>
  <sheetFormatPr defaultColWidth="8.85546875" defaultRowHeight="15" x14ac:dyDescent="0.25"/>
  <cols>
    <col min="1" max="1" width="3.140625" customWidth="1"/>
    <col min="2" max="2" width="27.7109375" customWidth="1"/>
    <col min="3" max="3" width="12.140625" customWidth="1"/>
  </cols>
  <sheetData>
    <row r="1" spans="2:3" ht="12.75" customHeight="1" thickBot="1" x14ac:dyDescent="0.3"/>
    <row r="2" spans="2:3" ht="12.75" customHeight="1" x14ac:dyDescent="0.25">
      <c r="B2" s="14" t="s">
        <v>70</v>
      </c>
      <c r="C2" s="23" t="s">
        <v>69</v>
      </c>
    </row>
    <row r="3" spans="2:3" x14ac:dyDescent="0.25">
      <c r="B3" s="4" t="s">
        <v>78</v>
      </c>
      <c r="C3" s="82">
        <v>186000</v>
      </c>
    </row>
    <row r="4" spans="2:3" x14ac:dyDescent="0.25">
      <c r="B4" s="22" t="s">
        <v>14</v>
      </c>
      <c r="C4" s="78">
        <v>180000</v>
      </c>
    </row>
    <row r="5" spans="2:3" x14ac:dyDescent="0.25">
      <c r="B5" s="4" t="s">
        <v>67</v>
      </c>
      <c r="C5" s="82">
        <f>'Full-Load Performance'!U6</f>
        <v>0.75</v>
      </c>
    </row>
    <row r="6" spans="2:3" x14ac:dyDescent="0.25">
      <c r="B6" s="4" t="s">
        <v>13</v>
      </c>
      <c r="C6" s="79">
        <v>6000</v>
      </c>
    </row>
    <row r="7" spans="2:3" x14ac:dyDescent="0.25">
      <c r="B7" s="4" t="s">
        <v>15</v>
      </c>
      <c r="C7" s="80">
        <v>1.758</v>
      </c>
    </row>
    <row r="8" spans="2:3" x14ac:dyDescent="0.25">
      <c r="B8" s="4" t="s">
        <v>44</v>
      </c>
      <c r="C8" s="83">
        <v>16.64</v>
      </c>
    </row>
    <row r="9" spans="2:3" x14ac:dyDescent="0.25">
      <c r="B9" s="4" t="s">
        <v>19</v>
      </c>
      <c r="C9" s="80">
        <f>C10-SUM(C7:C8)</f>
        <v>0.20200000000000173</v>
      </c>
    </row>
    <row r="10" spans="2:3" x14ac:dyDescent="0.25">
      <c r="B10" s="4" t="s">
        <v>16</v>
      </c>
      <c r="C10" s="80">
        <v>18.600000000000001</v>
      </c>
    </row>
    <row r="11" spans="2:3" x14ac:dyDescent="0.25">
      <c r="B11" s="4" t="s">
        <v>17</v>
      </c>
      <c r="C11" s="80">
        <f>(C4/1000)/C10</f>
        <v>9.6774193548387082</v>
      </c>
    </row>
    <row r="12" spans="2:3" ht="15.75" thickBot="1" x14ac:dyDescent="0.3">
      <c r="B12" s="6" t="s">
        <v>18</v>
      </c>
      <c r="C12" s="81" t="s">
        <v>66</v>
      </c>
    </row>
    <row r="14" spans="2:3" x14ac:dyDescent="0.25">
      <c r="B14" t="s">
        <v>2</v>
      </c>
    </row>
  </sheetData>
  <pageMargins left="0.7" right="0.7" top="0.75" bottom="0.75" header="0.3" footer="0.3"/>
  <ignoredErrors>
    <ignoredError sqref="C9" formulaRange="1"/>
  </ignoredErrors>
  <legacyDrawing r:id="rId1"/>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U37"/>
  <sheetViews>
    <sheetView workbookViewId="0">
      <selection activeCell="H38" sqref="H38"/>
    </sheetView>
  </sheetViews>
  <sheetFormatPr defaultColWidth="8.85546875" defaultRowHeight="15" x14ac:dyDescent="0.25"/>
  <cols>
    <col min="1" max="1" width="2.28515625" customWidth="1"/>
    <col min="3" max="3" width="8.42578125" bestFit="1" customWidth="1"/>
    <col min="6" max="6" width="8.85546875" customWidth="1"/>
    <col min="7" max="7" width="3.85546875" customWidth="1"/>
    <col min="10" max="10" width="8.42578125" bestFit="1" customWidth="1"/>
    <col min="12" max="12" width="10.5703125" customWidth="1"/>
    <col min="21" max="21" width="5.42578125" customWidth="1"/>
  </cols>
  <sheetData>
    <row r="1" spans="2:21" ht="18.75" customHeight="1" x14ac:dyDescent="0.25"/>
    <row r="2" spans="2:21" x14ac:dyDescent="0.25">
      <c r="B2" t="s">
        <v>79</v>
      </c>
      <c r="C2" t="s">
        <v>81</v>
      </c>
      <c r="D2" t="s">
        <v>80</v>
      </c>
      <c r="E2" t="s">
        <v>82</v>
      </c>
      <c r="F2" s="40" t="s">
        <v>88</v>
      </c>
      <c r="H2" s="39"/>
      <c r="I2" s="39"/>
      <c r="J2" s="39"/>
      <c r="K2" s="39"/>
      <c r="L2" s="39"/>
      <c r="M2" s="39"/>
      <c r="N2" s="39"/>
      <c r="O2" s="39"/>
      <c r="P2" s="39"/>
      <c r="Q2" s="39"/>
      <c r="R2" s="39"/>
      <c r="U2" s="35" t="s">
        <v>84</v>
      </c>
    </row>
    <row r="3" spans="2:21" x14ac:dyDescent="0.25">
      <c r="B3" s="84" t="s">
        <v>84</v>
      </c>
      <c r="C3" s="32">
        <v>8.1999999999999993</v>
      </c>
      <c r="D3" s="34">
        <v>1.8</v>
      </c>
      <c r="E3" s="33">
        <v>25</v>
      </c>
      <c r="F3" s="34">
        <v>2.5</v>
      </c>
      <c r="H3" s="39"/>
      <c r="I3" s="39"/>
      <c r="J3" s="39"/>
      <c r="K3" s="39"/>
      <c r="L3" s="39"/>
      <c r="M3" s="39"/>
      <c r="N3" s="39"/>
      <c r="O3" s="39"/>
      <c r="P3" s="39"/>
      <c r="Q3" s="39"/>
      <c r="R3" s="39"/>
      <c r="U3" s="35" t="s">
        <v>85</v>
      </c>
    </row>
    <row r="4" spans="2:21" ht="21.75" customHeight="1" x14ac:dyDescent="0.25">
      <c r="H4" s="39"/>
      <c r="I4" s="39"/>
      <c r="J4" s="39"/>
      <c r="K4" s="39"/>
      <c r="L4" s="39"/>
      <c r="M4" s="39"/>
      <c r="N4" s="39"/>
      <c r="O4" s="39"/>
      <c r="P4" s="39"/>
      <c r="Q4" s="39"/>
      <c r="R4" s="39"/>
      <c r="U4" s="35" t="s">
        <v>87</v>
      </c>
    </row>
    <row r="5" spans="2:21" ht="9" customHeight="1" thickBot="1" x14ac:dyDescent="0.3"/>
    <row r="6" spans="2:21" ht="15" customHeight="1" x14ac:dyDescent="0.25">
      <c r="B6" s="114" t="s">
        <v>77</v>
      </c>
      <c r="C6" s="109"/>
      <c r="D6" s="109"/>
      <c r="E6" s="109"/>
      <c r="F6" s="110"/>
      <c r="H6" s="39"/>
      <c r="I6" s="39"/>
      <c r="J6" s="39"/>
      <c r="K6" s="39"/>
      <c r="L6" s="39"/>
      <c r="M6" s="39"/>
      <c r="N6" s="39"/>
      <c r="O6" s="39"/>
      <c r="P6" s="39"/>
      <c r="Q6" s="39"/>
      <c r="R6" s="39"/>
    </row>
    <row r="7" spans="2:21" x14ac:dyDescent="0.25">
      <c r="B7" s="2"/>
      <c r="C7" s="111" t="s">
        <v>20</v>
      </c>
      <c r="D7" s="112"/>
      <c r="E7" s="112"/>
      <c r="F7" s="113"/>
      <c r="H7" s="39"/>
      <c r="I7" s="39"/>
      <c r="J7" s="39"/>
      <c r="K7" s="39"/>
      <c r="L7" s="39"/>
      <c r="M7" s="39"/>
      <c r="N7" s="39"/>
      <c r="O7" s="39"/>
      <c r="P7" s="39"/>
      <c r="Q7" s="39"/>
      <c r="R7" s="39"/>
    </row>
    <row r="8" spans="2:21" x14ac:dyDescent="0.25">
      <c r="B8" s="16" t="s">
        <v>22</v>
      </c>
      <c r="C8" s="3">
        <v>95</v>
      </c>
      <c r="D8" s="3">
        <v>81.5</v>
      </c>
      <c r="E8" s="3">
        <v>68</v>
      </c>
      <c r="F8" s="5">
        <v>65</v>
      </c>
      <c r="H8" s="39"/>
      <c r="I8" s="39"/>
      <c r="J8" s="39"/>
      <c r="K8" s="39"/>
      <c r="L8" s="39"/>
      <c r="M8" s="39"/>
      <c r="N8" s="39"/>
      <c r="O8" s="39"/>
      <c r="P8" s="39"/>
      <c r="Q8" s="39"/>
      <c r="R8" s="39"/>
    </row>
    <row r="9" spans="2:21" x14ac:dyDescent="0.25">
      <c r="B9" s="4">
        <v>100</v>
      </c>
      <c r="C9" s="85">
        <f t="shared" ref="C9:F12" si="0">EER(C$8, 67, $B9/100, SystemType, CFan_percent, Efan_kW, DegFactor, N_affinity)</f>
        <v>9.7398013597501194</v>
      </c>
      <c r="D9" s="28">
        <f t="shared" si="0"/>
        <v>11.450899121493345</v>
      </c>
      <c r="E9" s="28">
        <f t="shared" si="0"/>
        <v>13.370919973958898</v>
      </c>
      <c r="F9" s="29">
        <f t="shared" si="0"/>
        <v>13.83782180952225</v>
      </c>
      <c r="H9" s="39"/>
      <c r="I9" s="39"/>
      <c r="J9" s="39"/>
      <c r="K9" s="39"/>
      <c r="L9" s="39"/>
      <c r="M9" s="39"/>
      <c r="N9" s="39"/>
      <c r="O9" s="39"/>
      <c r="P9" s="39"/>
      <c r="Q9" s="39"/>
      <c r="R9" s="39"/>
    </row>
    <row r="10" spans="2:21" x14ac:dyDescent="0.25">
      <c r="B10" s="4">
        <v>75</v>
      </c>
      <c r="C10" s="28">
        <f t="shared" si="0"/>
        <v>10.487053238836904</v>
      </c>
      <c r="D10" s="85">
        <f t="shared" si="0"/>
        <v>12.370456205671481</v>
      </c>
      <c r="E10" s="28">
        <f t="shared" si="0"/>
        <v>14.500447252784003</v>
      </c>
      <c r="F10" s="29">
        <f t="shared" si="0"/>
        <v>15.021254229053353</v>
      </c>
      <c r="H10" s="120" t="s">
        <v>75</v>
      </c>
      <c r="I10" s="119"/>
      <c r="J10" s="119"/>
      <c r="K10" s="119"/>
      <c r="L10" s="119"/>
      <c r="M10" s="119"/>
      <c r="N10" s="119"/>
      <c r="O10" s="119"/>
      <c r="P10" s="119"/>
      <c r="Q10" s="119"/>
      <c r="R10" s="119"/>
    </row>
    <row r="11" spans="2:21" ht="15.75" thickBot="1" x14ac:dyDescent="0.3">
      <c r="B11" s="4">
        <v>50</v>
      </c>
      <c r="C11" s="28">
        <f t="shared" si="0"/>
        <v>11.196784984252174</v>
      </c>
      <c r="D11" s="28">
        <f t="shared" si="0"/>
        <v>13.250544099293217</v>
      </c>
      <c r="E11" s="85">
        <f t="shared" si="0"/>
        <v>15.590761011630121</v>
      </c>
      <c r="F11" s="29">
        <f t="shared" si="0"/>
        <v>16.165992282311063</v>
      </c>
      <c r="H11" s="119"/>
      <c r="I11" s="119"/>
      <c r="J11" s="119"/>
      <c r="K11" s="119"/>
      <c r="L11" s="119"/>
      <c r="M11" s="119"/>
      <c r="N11" s="119"/>
      <c r="O11" s="119"/>
      <c r="P11" s="119"/>
      <c r="Q11" s="119"/>
      <c r="R11" s="119"/>
    </row>
    <row r="12" spans="2:21" ht="15.75" thickBot="1" x14ac:dyDescent="0.3">
      <c r="B12" s="6">
        <v>25</v>
      </c>
      <c r="C12" s="30">
        <f t="shared" si="0"/>
        <v>11.802889855608351</v>
      </c>
      <c r="D12" s="30">
        <f t="shared" si="0"/>
        <v>14.007357419006313</v>
      </c>
      <c r="E12" s="30">
        <f t="shared" si="0"/>
        <v>16.535691410751369</v>
      </c>
      <c r="F12" s="86">
        <f t="shared" si="0"/>
        <v>17.1599951852102</v>
      </c>
      <c r="H12" s="87" t="s">
        <v>0</v>
      </c>
      <c r="I12" s="88"/>
      <c r="J12" s="89">
        <f>IF(B3="Clear","NA",0.02*C9+0.617*D10+0.238*E11+0.125*F12)</f>
        <v>13.682968025013547</v>
      </c>
      <c r="K12" s="90" t="s">
        <v>1</v>
      </c>
      <c r="L12" s="24"/>
      <c r="M12" s="24"/>
      <c r="N12" s="24"/>
      <c r="O12" s="24"/>
      <c r="P12" s="24"/>
    </row>
    <row r="15" spans="2:21" ht="12.75" customHeight="1" x14ac:dyDescent="0.25">
      <c r="B15" t="s">
        <v>21</v>
      </c>
    </row>
    <row r="16" spans="2:21" ht="15" customHeight="1" x14ac:dyDescent="0.25">
      <c r="B16" t="s">
        <v>24</v>
      </c>
    </row>
    <row r="17" spans="2:18" ht="9.75" customHeight="1" x14ac:dyDescent="0.25"/>
    <row r="18" spans="2:18" ht="6" customHeight="1" x14ac:dyDescent="0.25"/>
    <row r="19" spans="2:18" ht="9" customHeight="1" thickBot="1" x14ac:dyDescent="0.3"/>
    <row r="20" spans="2:18" ht="15" customHeight="1" x14ac:dyDescent="0.25">
      <c r="B20" s="114" t="s">
        <v>73</v>
      </c>
      <c r="C20" s="109"/>
      <c r="D20" s="109"/>
      <c r="E20" s="109"/>
      <c r="F20" s="110"/>
      <c r="H20" s="119" t="s">
        <v>74</v>
      </c>
      <c r="I20" s="119"/>
      <c r="J20" s="119"/>
      <c r="K20" s="119"/>
      <c r="L20" s="119"/>
      <c r="M20" s="119"/>
      <c r="N20" s="119"/>
      <c r="O20" s="119"/>
      <c r="P20" s="119"/>
      <c r="Q20" s="119"/>
      <c r="R20" s="119"/>
    </row>
    <row r="21" spans="2:18" x14ac:dyDescent="0.25">
      <c r="B21" s="2"/>
      <c r="C21" s="111" t="s">
        <v>20</v>
      </c>
      <c r="D21" s="112"/>
      <c r="E21" s="112"/>
      <c r="F21" s="113"/>
      <c r="H21" s="119"/>
      <c r="I21" s="119"/>
      <c r="J21" s="119"/>
      <c r="K21" s="119"/>
      <c r="L21" s="119"/>
      <c r="M21" s="119"/>
      <c r="N21" s="119"/>
      <c r="O21" s="119"/>
      <c r="P21" s="119"/>
      <c r="Q21" s="119"/>
      <c r="R21" s="119"/>
    </row>
    <row r="22" spans="2:18" ht="15" customHeight="1" thickBot="1" x14ac:dyDescent="0.3">
      <c r="B22" s="25" t="s">
        <v>22</v>
      </c>
      <c r="C22" s="26">
        <v>95</v>
      </c>
      <c r="D22" s="26">
        <v>81.5</v>
      </c>
      <c r="E22" s="26">
        <v>68</v>
      </c>
      <c r="F22" s="27">
        <v>65</v>
      </c>
      <c r="H22" s="119"/>
      <c r="I22" s="119"/>
      <c r="J22" s="119"/>
      <c r="K22" s="119"/>
      <c r="L22" s="119"/>
      <c r="M22" s="119"/>
      <c r="N22" s="119"/>
      <c r="O22" s="119"/>
      <c r="P22" s="119"/>
      <c r="Q22" s="119"/>
      <c r="R22" s="119"/>
    </row>
    <row r="23" spans="2:18" x14ac:dyDescent="0.25">
      <c r="B23" s="4">
        <v>100</v>
      </c>
      <c r="C23" s="59">
        <f t="shared" ref="C23:F26" si="1">EER_Cond(C$8, 67, $B9/100, SystemType, CFan_percent, Efan_kW, DegFactor, N_affinity)</f>
        <v>11.161640268746778</v>
      </c>
      <c r="D23" s="60">
        <f t="shared" si="1"/>
        <v>13.268624229310458</v>
      </c>
      <c r="E23" s="60">
        <f t="shared" si="1"/>
        <v>15.694464481394281</v>
      </c>
      <c r="F23" s="61">
        <f t="shared" si="1"/>
        <v>16.295074514587817</v>
      </c>
      <c r="H23" s="121" t="s">
        <v>72</v>
      </c>
      <c r="I23" s="121"/>
      <c r="J23" s="121"/>
      <c r="K23" s="121"/>
      <c r="L23" s="121"/>
      <c r="M23" s="121"/>
      <c r="N23" s="121"/>
      <c r="O23" s="121"/>
      <c r="P23" s="121"/>
    </row>
    <row r="24" spans="2:18" x14ac:dyDescent="0.25">
      <c r="B24" s="4">
        <v>75</v>
      </c>
      <c r="C24" s="62">
        <f t="shared" si="1"/>
        <v>11.491911338332427</v>
      </c>
      <c r="D24" s="63">
        <f t="shared" si="1"/>
        <v>13.661240602050487</v>
      </c>
      <c r="E24" s="63">
        <f t="shared" si="1"/>
        <v>16.158861061649421</v>
      </c>
      <c r="F24" s="64">
        <f t="shared" si="1"/>
        <v>16.777243045317132</v>
      </c>
      <c r="H24" s="121"/>
      <c r="I24" s="121"/>
      <c r="J24" s="121"/>
      <c r="K24" s="121"/>
      <c r="L24" s="121"/>
      <c r="M24" s="121"/>
      <c r="N24" s="121"/>
      <c r="O24" s="121"/>
      <c r="P24" s="121"/>
    </row>
    <row r="25" spans="2:18" x14ac:dyDescent="0.25">
      <c r="B25" s="4">
        <v>50</v>
      </c>
      <c r="C25" s="62">
        <f t="shared" si="1"/>
        <v>11.786422271322003</v>
      </c>
      <c r="D25" s="63">
        <f t="shared" si="1"/>
        <v>14.011346393598371</v>
      </c>
      <c r="E25" s="63">
        <f t="shared" si="1"/>
        <v>16.572975050802935</v>
      </c>
      <c r="F25" s="64">
        <f t="shared" si="1"/>
        <v>17.207204725041183</v>
      </c>
      <c r="H25" s="120" t="s">
        <v>93</v>
      </c>
      <c r="I25" s="119"/>
      <c r="J25" s="119"/>
      <c r="K25" s="119"/>
      <c r="L25" s="119"/>
      <c r="M25" s="119"/>
      <c r="N25" s="119"/>
      <c r="O25" s="119"/>
      <c r="P25" s="119"/>
    </row>
    <row r="26" spans="2:18" ht="15.75" thickBot="1" x14ac:dyDescent="0.3">
      <c r="B26" s="6">
        <v>25</v>
      </c>
      <c r="C26" s="65">
        <f t="shared" si="1"/>
        <v>12.024390270667144</v>
      </c>
      <c r="D26" s="66">
        <f t="shared" si="1"/>
        <v>14.294235636208411</v>
      </c>
      <c r="E26" s="66">
        <f t="shared" si="1"/>
        <v>16.90758360505713</v>
      </c>
      <c r="F26" s="67">
        <f t="shared" si="1"/>
        <v>17.554618383611977</v>
      </c>
      <c r="H26" s="119"/>
      <c r="I26" s="119"/>
      <c r="J26" s="119"/>
      <c r="K26" s="119"/>
      <c r="L26" s="119"/>
      <c r="M26" s="119"/>
      <c r="N26" s="119"/>
      <c r="O26" s="119"/>
      <c r="P26" s="119"/>
    </row>
    <row r="30" spans="2:18" ht="20.25" customHeight="1" thickBot="1" x14ac:dyDescent="0.3"/>
    <row r="31" spans="2:18" ht="15" customHeight="1" x14ac:dyDescent="0.25">
      <c r="B31" s="114" t="s">
        <v>83</v>
      </c>
      <c r="C31" s="109"/>
      <c r="D31" s="109"/>
      <c r="E31" s="109"/>
      <c r="F31" s="110"/>
      <c r="H31" s="119" t="s">
        <v>92</v>
      </c>
      <c r="I31" s="119"/>
      <c r="J31" s="119"/>
      <c r="K31" s="119"/>
      <c r="L31" s="119"/>
      <c r="M31" s="119"/>
      <c r="N31" s="119"/>
      <c r="O31" s="119"/>
      <c r="P31" s="119"/>
      <c r="Q31" s="119"/>
      <c r="R31" s="119"/>
    </row>
    <row r="32" spans="2:18" x14ac:dyDescent="0.25">
      <c r="B32" s="2"/>
      <c r="C32" s="111" t="s">
        <v>20</v>
      </c>
      <c r="D32" s="112"/>
      <c r="E32" s="112"/>
      <c r="F32" s="113"/>
      <c r="H32" s="119"/>
      <c r="I32" s="119"/>
      <c r="J32" s="119"/>
      <c r="K32" s="119"/>
      <c r="L32" s="119"/>
      <c r="M32" s="119"/>
      <c r="N32" s="119"/>
      <c r="O32" s="119"/>
      <c r="P32" s="119"/>
      <c r="Q32" s="119"/>
      <c r="R32" s="119"/>
    </row>
    <row r="33" spans="2:18" x14ac:dyDescent="0.25">
      <c r="B33" s="25" t="s">
        <v>22</v>
      </c>
      <c r="C33" s="26">
        <v>95</v>
      </c>
      <c r="D33" s="26">
        <v>81.5</v>
      </c>
      <c r="E33" s="26">
        <v>68</v>
      </c>
      <c r="F33" s="27">
        <v>65</v>
      </c>
      <c r="H33" s="119"/>
      <c r="I33" s="119"/>
      <c r="J33" s="119"/>
      <c r="K33" s="119"/>
      <c r="L33" s="119"/>
      <c r="M33" s="119"/>
      <c r="N33" s="119"/>
      <c r="O33" s="119"/>
      <c r="P33" s="119"/>
      <c r="Q33" s="119"/>
      <c r="R33" s="119"/>
    </row>
    <row r="34" spans="2:18" x14ac:dyDescent="0.25">
      <c r="B34" s="4">
        <v>100</v>
      </c>
      <c r="C34" s="31">
        <f>EER_Cond_Normalized(C$23,C23)</f>
        <v>1</v>
      </c>
      <c r="D34" s="31">
        <f t="shared" ref="D34:F34" si="2">EER_Cond_Normalized(D$23,D23)</f>
        <v>1</v>
      </c>
      <c r="E34" s="31">
        <f t="shared" si="2"/>
        <v>1</v>
      </c>
      <c r="F34" s="31">
        <f t="shared" si="2"/>
        <v>1</v>
      </c>
      <c r="H34" s="119"/>
      <c r="I34" s="119"/>
      <c r="J34" s="119"/>
      <c r="K34" s="119"/>
      <c r="L34" s="119"/>
      <c r="M34" s="119"/>
      <c r="N34" s="119"/>
      <c r="O34" s="119"/>
      <c r="P34" s="119"/>
      <c r="Q34" s="119"/>
      <c r="R34" s="119"/>
    </row>
    <row r="35" spans="2:18" x14ac:dyDescent="0.25">
      <c r="B35" s="4">
        <v>75</v>
      </c>
      <c r="C35" s="31">
        <f t="shared" ref="C35:F35" si="3">EER_Cond_Normalized(C$23,C24)</f>
        <v>1.0295898328232658</v>
      </c>
      <c r="D35" s="31">
        <f t="shared" si="3"/>
        <v>1.0295898328232658</v>
      </c>
      <c r="E35" s="31">
        <f t="shared" si="3"/>
        <v>1.0295898328232658</v>
      </c>
      <c r="F35" s="31">
        <f t="shared" si="3"/>
        <v>1.029589832823266</v>
      </c>
      <c r="H35" s="119"/>
      <c r="I35" s="119"/>
      <c r="J35" s="119"/>
      <c r="K35" s="119"/>
      <c r="L35" s="119"/>
      <c r="M35" s="119"/>
      <c r="N35" s="119"/>
      <c r="O35" s="119"/>
      <c r="P35" s="119"/>
      <c r="Q35" s="119"/>
      <c r="R35" s="119"/>
    </row>
    <row r="36" spans="2:18" x14ac:dyDescent="0.25">
      <c r="B36" s="4">
        <v>50</v>
      </c>
      <c r="C36" s="31">
        <f t="shared" ref="C36:F36" si="4">EER_Cond_Normalized(C$23,C25)</f>
        <v>1.0559758232241769</v>
      </c>
      <c r="D36" s="31">
        <f t="shared" si="4"/>
        <v>1.0559758232241769</v>
      </c>
      <c r="E36" s="31">
        <f t="shared" si="4"/>
        <v>1.0559758232241772</v>
      </c>
      <c r="F36" s="31">
        <f t="shared" si="4"/>
        <v>1.0559758232241774</v>
      </c>
      <c r="H36" s="38"/>
      <c r="I36" s="37"/>
      <c r="J36" s="37"/>
      <c r="K36" s="37"/>
      <c r="L36" s="37"/>
      <c r="M36" s="37"/>
      <c r="N36" s="37"/>
      <c r="O36" s="37"/>
      <c r="P36" s="37"/>
    </row>
    <row r="37" spans="2:18" ht="15.75" thickBot="1" x14ac:dyDescent="0.3">
      <c r="B37" s="6">
        <v>25</v>
      </c>
      <c r="C37" s="31">
        <f t="shared" ref="C37:F37" si="5">EER_Cond_Normalized(C$23,C26)</f>
        <v>1.0772959870724481</v>
      </c>
      <c r="D37" s="31">
        <f t="shared" si="5"/>
        <v>1.0772959870724481</v>
      </c>
      <c r="E37" s="31">
        <f t="shared" si="5"/>
        <v>1.0772959870724481</v>
      </c>
      <c r="F37" s="31">
        <f t="shared" si="5"/>
        <v>1.0772959870724481</v>
      </c>
      <c r="H37" s="37"/>
      <c r="I37" s="37"/>
      <c r="J37" s="37"/>
      <c r="K37" s="37"/>
      <c r="L37" s="37"/>
      <c r="M37" s="37"/>
      <c r="N37" s="37"/>
      <c r="O37" s="37"/>
      <c r="P37" s="37"/>
    </row>
  </sheetData>
  <mergeCells count="11">
    <mergeCell ref="C7:F7"/>
    <mergeCell ref="B20:F20"/>
    <mergeCell ref="B6:F6"/>
    <mergeCell ref="C21:F21"/>
    <mergeCell ref="H23:P24"/>
    <mergeCell ref="H10:R11"/>
    <mergeCell ref="B31:F31"/>
    <mergeCell ref="C32:F32"/>
    <mergeCell ref="H31:R35"/>
    <mergeCell ref="H25:P26"/>
    <mergeCell ref="H20:R22"/>
  </mergeCells>
  <conditionalFormatting sqref="C3">
    <cfRule type="expression" dxfId="1" priority="2">
      <formula>($B$3="VS")</formula>
    </cfRule>
  </conditionalFormatting>
  <conditionalFormatting sqref="E3">
    <cfRule type="expression" dxfId="0" priority="1">
      <formula>($B$3&lt;&gt;"VS")</formula>
    </cfRule>
  </conditionalFormatting>
  <dataValidations count="1">
    <dataValidation type="list" allowBlank="1" showInputMessage="1" showErrorMessage="1" sqref="B3">
      <formula1>Partload_Mode</formula1>
    </dataValidation>
  </dataValidations>
  <pageMargins left="0.7" right="0.7" top="0.75" bottom="0.75" header="0.3" footer="0.3"/>
  <pageSetup orientation="portrait" r:id="rId1"/>
  <drawing r:id="rId2"/>
  <legacyDrawing r:id="rId3"/>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5"/>
  <sheetViews>
    <sheetView workbookViewId="0">
      <selection activeCell="H36" sqref="H36"/>
    </sheetView>
  </sheetViews>
  <sheetFormatPr defaultRowHeight="15" x14ac:dyDescent="0.25"/>
  <cols>
    <col min="1" max="1" width="22.28515625" customWidth="1"/>
    <col min="2" max="2" width="6.85546875" bestFit="1" customWidth="1"/>
    <col min="3" max="3" width="9" customWidth="1"/>
    <col min="10" max="10" width="8.85546875" customWidth="1"/>
    <col min="14" max="14" width="9" customWidth="1"/>
  </cols>
  <sheetData>
    <row r="1" spans="1:13" x14ac:dyDescent="0.25">
      <c r="A1" s="91" t="str">
        <f>'AHRI Ratings'!C2</f>
        <v>TCA180S2B</v>
      </c>
      <c r="B1" s="93"/>
      <c r="C1" s="93"/>
      <c r="D1" s="93"/>
      <c r="E1" s="93"/>
      <c r="F1" s="93"/>
      <c r="G1" s="94"/>
    </row>
    <row r="2" spans="1:13" x14ac:dyDescent="0.25">
      <c r="A2" s="95" t="s">
        <v>76</v>
      </c>
      <c r="B2" s="42"/>
      <c r="C2" s="43"/>
      <c r="D2" s="43"/>
      <c r="E2" s="43"/>
      <c r="F2" s="43"/>
      <c r="G2" s="92"/>
    </row>
    <row r="3" spans="1:13" x14ac:dyDescent="0.25">
      <c r="A3" s="101" t="s">
        <v>55</v>
      </c>
      <c r="B3" s="43" t="s">
        <v>25</v>
      </c>
      <c r="C3" s="96" t="str">
        <f>'Full-Load Performance'!C5</f>
        <v>NA</v>
      </c>
      <c r="D3" s="96" t="str">
        <f>'Full-Load Performance'!D5</f>
        <v>NA</v>
      </c>
      <c r="E3" s="96" t="str">
        <f>IF('Full-Load Performance'!$B$20="Set to NA","NA",'Full-Load Performance'!E5)</f>
        <v>NA</v>
      </c>
      <c r="F3" s="96" t="str">
        <f>IF('Full-Load Performance'!$B$20="Set to NA","NA",'Full-Load Performance'!F5)</f>
        <v>NA</v>
      </c>
      <c r="G3" s="97" t="str">
        <f>IF('Full-Load Performance'!$B$20="Set to NA","NA",'Full-Load Performance'!G5)</f>
        <v>NA</v>
      </c>
    </row>
    <row r="4" spans="1:13" x14ac:dyDescent="0.25">
      <c r="A4" s="101" t="s">
        <v>55</v>
      </c>
      <c r="B4" s="43" t="s">
        <v>26</v>
      </c>
      <c r="C4" s="96" t="str">
        <f>'Full-Load Performance'!C6</f>
        <v>NA</v>
      </c>
      <c r="D4" s="96" t="str">
        <f>'Full-Load Performance'!D6</f>
        <v>NA</v>
      </c>
      <c r="E4" s="96" t="str">
        <f>IF('Full-Load Performance'!$B$20="Set to NA","NA",'Full-Load Performance'!E6)</f>
        <v>NA</v>
      </c>
      <c r="F4" s="96" t="str">
        <f>IF('Full-Load Performance'!$B$20="Set to NA","NA",'Full-Load Performance'!F6)</f>
        <v>NA</v>
      </c>
      <c r="G4" s="97" t="str">
        <f>IF('Full-Load Performance'!$B$20="Set to NA","NA",'Full-Load Performance'!G6)</f>
        <v>NA</v>
      </c>
    </row>
    <row r="5" spans="1:13" x14ac:dyDescent="0.25">
      <c r="A5" s="101" t="s">
        <v>55</v>
      </c>
      <c r="B5" s="43" t="s">
        <v>27</v>
      </c>
      <c r="C5" s="96" t="str">
        <f>'Full-Load Performance'!C7</f>
        <v>NA</v>
      </c>
      <c r="D5" s="96" t="str">
        <f>'Full-Load Performance'!D7</f>
        <v>NA</v>
      </c>
      <c r="E5" s="96" t="str">
        <f>IF('Full-Load Performance'!$B$20="Set to NA","NA",'Full-Load Performance'!E7)</f>
        <v>NA</v>
      </c>
      <c r="F5" s="96" t="str">
        <f>IF('Full-Load Performance'!$B$20="Set to NA","NA",'Full-Load Performance'!F7)</f>
        <v>NA</v>
      </c>
      <c r="G5" s="97" t="str">
        <f>IF('Full-Load Performance'!$B$20="Set to NA","NA",'Full-Load Performance'!G7)</f>
        <v>NA</v>
      </c>
    </row>
    <row r="6" spans="1:13" x14ac:dyDescent="0.25">
      <c r="A6" s="101" t="s">
        <v>55</v>
      </c>
      <c r="B6" s="43" t="s">
        <v>28</v>
      </c>
      <c r="C6" s="96" t="str">
        <f>'Full-Load Performance'!H5</f>
        <v>NA</v>
      </c>
      <c r="D6" s="96" t="str">
        <f>'Full-Load Performance'!I5</f>
        <v>NA</v>
      </c>
      <c r="E6" s="96" t="str">
        <f>IF('Full-Load Performance'!$B$20="Set to NA","NA",'Full-Load Performance'!J5)</f>
        <v>NA</v>
      </c>
      <c r="F6" s="96" t="str">
        <f>IF('Full-Load Performance'!$B$20="Set to NA","NA",'Full-Load Performance'!K5)</f>
        <v>NA</v>
      </c>
      <c r="G6" s="97" t="str">
        <f>IF('Full-Load Performance'!$B$20="Set to NA","NA",'Full-Load Performance'!L5)</f>
        <v>NA</v>
      </c>
    </row>
    <row r="7" spans="1:13" x14ac:dyDescent="0.25">
      <c r="A7" s="101" t="s">
        <v>55</v>
      </c>
      <c r="B7" s="43" t="s">
        <v>29</v>
      </c>
      <c r="C7" s="96" t="str">
        <f>'Full-Load Performance'!H6</f>
        <v>NA</v>
      </c>
      <c r="D7" s="96" t="str">
        <f>'Full-Load Performance'!I6</f>
        <v>NA</v>
      </c>
      <c r="E7" s="96" t="str">
        <f>IF('Full-Load Performance'!$B$20="Set to NA","NA",'Full-Load Performance'!J6)</f>
        <v>NA</v>
      </c>
      <c r="F7" s="96" t="str">
        <f>IF('Full-Load Performance'!$B$20="Set to NA","NA",'Full-Load Performance'!K6)</f>
        <v>NA</v>
      </c>
      <c r="G7" s="97" t="str">
        <f>IF('Full-Load Performance'!$B$20="Set to NA","NA",'Full-Load Performance'!L6)</f>
        <v>NA</v>
      </c>
    </row>
    <row r="8" spans="1:13" x14ac:dyDescent="0.25">
      <c r="A8" s="101" t="s">
        <v>55</v>
      </c>
      <c r="B8" s="43" t="s">
        <v>30</v>
      </c>
      <c r="C8" s="96" t="str">
        <f>'Full-Load Performance'!H7</f>
        <v>NA</v>
      </c>
      <c r="D8" s="96" t="str">
        <f>'Full-Load Performance'!I7</f>
        <v>NA</v>
      </c>
      <c r="E8" s="96" t="str">
        <f>IF('Full-Load Performance'!$B$20="Set to NA","NA",'Full-Load Performance'!J7)</f>
        <v>NA</v>
      </c>
      <c r="F8" s="96" t="str">
        <f>IF('Full-Load Performance'!$B$20="Set to NA","NA",'Full-Load Performance'!K7)</f>
        <v>NA</v>
      </c>
      <c r="G8" s="97" t="str">
        <f>IF('Full-Load Performance'!$B$20="Set to NA","NA",'Full-Load Performance'!L7)</f>
        <v>NA</v>
      </c>
    </row>
    <row r="9" spans="1:13" x14ac:dyDescent="0.25">
      <c r="A9" s="101" t="s">
        <v>55</v>
      </c>
      <c r="B9" s="43" t="s">
        <v>31</v>
      </c>
      <c r="C9" s="96">
        <f>'Full-Load Performance'!M5</f>
        <v>182.9</v>
      </c>
      <c r="D9" s="96">
        <f>'Full-Load Performance'!N5</f>
        <v>14.95</v>
      </c>
      <c r="E9" s="96" t="str">
        <f>IF('Full-Load Performance'!$B$20="Set to NA","NA",'Full-Load Performance'!O5)</f>
        <v>NA</v>
      </c>
      <c r="F9" s="96" t="str">
        <f>IF('Full-Load Performance'!$B$20="Set to NA","NA",'Full-Load Performance'!P5)</f>
        <v>NA</v>
      </c>
      <c r="G9" s="97" t="str">
        <f>IF('Full-Load Performance'!$B$20="Set to NA","NA",'Full-Load Performance'!Q5)</f>
        <v>NA</v>
      </c>
    </row>
    <row r="10" spans="1:13" x14ac:dyDescent="0.25">
      <c r="A10" s="101" t="s">
        <v>55</v>
      </c>
      <c r="B10" s="43" t="s">
        <v>32</v>
      </c>
      <c r="C10" s="96">
        <f>'Full-Load Performance'!M6</f>
        <v>193</v>
      </c>
      <c r="D10" s="96">
        <f>'Full-Load Performance'!N6</f>
        <v>15.18</v>
      </c>
      <c r="E10" s="96" t="str">
        <f>IF('Full-Load Performance'!$B$20="Set to NA","NA",'Full-Load Performance'!O6)</f>
        <v>NA</v>
      </c>
      <c r="F10" s="96" t="str">
        <f>IF('Full-Load Performance'!$B$20="Set to NA","NA",'Full-Load Performance'!P6)</f>
        <v>NA</v>
      </c>
      <c r="G10" s="97" t="str">
        <f>IF('Full-Load Performance'!$B$20="Set to NA","NA",'Full-Load Performance'!Q6)</f>
        <v>NA</v>
      </c>
      <c r="H10" s="43"/>
      <c r="I10" s="43"/>
      <c r="J10" s="43"/>
      <c r="K10" s="43"/>
      <c r="L10" s="43"/>
      <c r="M10" s="43"/>
    </row>
    <row r="11" spans="1:13" x14ac:dyDescent="0.25">
      <c r="A11" s="101" t="s">
        <v>55</v>
      </c>
      <c r="B11" s="43" t="s">
        <v>33</v>
      </c>
      <c r="C11" s="96">
        <f>'Full-Load Performance'!M7</f>
        <v>205.2</v>
      </c>
      <c r="D11" s="96">
        <f>'Full-Load Performance'!N7</f>
        <v>15.47</v>
      </c>
      <c r="E11" s="96" t="str">
        <f>IF('Full-Load Performance'!$B$20="Set to NA","NA",'Full-Load Performance'!O7)</f>
        <v>NA</v>
      </c>
      <c r="F11" s="96" t="str">
        <f>IF('Full-Load Performance'!$B$20="Set to NA","NA",'Full-Load Performance'!P7)</f>
        <v>NA</v>
      </c>
      <c r="G11" s="97" t="str">
        <f>IF('Full-Load Performance'!$B$20="Set to NA","NA",'Full-Load Performance'!Q7)</f>
        <v>NA</v>
      </c>
      <c r="H11" s="43"/>
      <c r="I11" s="43"/>
      <c r="J11" s="43"/>
      <c r="K11" s="43"/>
      <c r="L11" s="43"/>
      <c r="M11" s="43"/>
    </row>
    <row r="12" spans="1:13" x14ac:dyDescent="0.25">
      <c r="A12" s="101" t="s">
        <v>55</v>
      </c>
      <c r="B12" s="43" t="s">
        <v>34</v>
      </c>
      <c r="C12" s="96">
        <f>'Full-Load Performance'!R5</f>
        <v>176.1</v>
      </c>
      <c r="D12" s="96">
        <f>'Full-Load Performance'!S5</f>
        <v>16.39</v>
      </c>
      <c r="E12" s="96" t="str">
        <f>IF('Full-Load Performance'!$B$20="Set to NA","NA",'Full-Load Performance'!T5)</f>
        <v>NA</v>
      </c>
      <c r="F12" s="96" t="str">
        <f>IF('Full-Load Performance'!$B$20="Set to NA","NA",'Full-Load Performance'!U5)</f>
        <v>NA</v>
      </c>
      <c r="G12" s="97" t="str">
        <f>IF('Full-Load Performance'!$B$20="Set to NA","NA",'Full-Load Performance'!V5)</f>
        <v>NA</v>
      </c>
      <c r="H12" s="43"/>
      <c r="I12" s="43"/>
      <c r="J12" s="43"/>
      <c r="K12" s="43"/>
      <c r="L12" s="43"/>
      <c r="M12" s="43"/>
    </row>
    <row r="13" spans="1:13" x14ac:dyDescent="0.25">
      <c r="A13" s="101" t="s">
        <v>55</v>
      </c>
      <c r="B13" s="43" t="s">
        <v>35</v>
      </c>
      <c r="C13" s="96">
        <f>'Full-Load Performance'!R6</f>
        <v>186</v>
      </c>
      <c r="D13" s="96">
        <f>'Full-Load Performance'!S6</f>
        <v>16.64</v>
      </c>
      <c r="E13" s="96" t="str">
        <f>IF('Full-Load Performance'!$B$20="Set to NA","NA",'Full-Load Performance'!T6)</f>
        <v>NA</v>
      </c>
      <c r="F13" s="96" t="str">
        <f>IF('Full-Load Performance'!$B$20="Set to NA","NA",'Full-Load Performance'!U6)</f>
        <v>NA</v>
      </c>
      <c r="G13" s="97" t="str">
        <f>IF('Full-Load Performance'!$B$20="Set to NA","NA",'Full-Load Performance'!V6)</f>
        <v>NA</v>
      </c>
      <c r="H13" s="43"/>
      <c r="I13" s="43"/>
      <c r="J13" s="43"/>
      <c r="K13" s="43"/>
      <c r="L13" s="43"/>
      <c r="M13" s="43"/>
    </row>
    <row r="14" spans="1:13" x14ac:dyDescent="0.25">
      <c r="A14" s="101" t="s">
        <v>55</v>
      </c>
      <c r="B14" s="43" t="s">
        <v>36</v>
      </c>
      <c r="C14" s="96">
        <f>'Full-Load Performance'!R7</f>
        <v>197.8</v>
      </c>
      <c r="D14" s="96">
        <f>'Full-Load Performance'!S7</f>
        <v>16.93</v>
      </c>
      <c r="E14" s="96" t="str">
        <f>IF('Full-Load Performance'!$B$20="Set to NA","NA",'Full-Load Performance'!T7)</f>
        <v>NA</v>
      </c>
      <c r="F14" s="96" t="str">
        <f>IF('Full-Load Performance'!$B$20="Set to NA","NA",'Full-Load Performance'!U7)</f>
        <v>NA</v>
      </c>
      <c r="G14" s="97" t="str">
        <f>IF('Full-Load Performance'!$B$20="Set to NA","NA",'Full-Load Performance'!V7)</f>
        <v>NA</v>
      </c>
      <c r="H14" s="43"/>
      <c r="I14" s="43"/>
      <c r="J14" s="43"/>
      <c r="K14" s="43"/>
      <c r="L14" s="43"/>
      <c r="M14" s="43"/>
    </row>
    <row r="15" spans="1:13" x14ac:dyDescent="0.25">
      <c r="A15" s="101" t="s">
        <v>55</v>
      </c>
      <c r="B15" s="43" t="s">
        <v>37</v>
      </c>
      <c r="C15" s="96">
        <f>'Full-Load Performance'!W5</f>
        <v>169.3</v>
      </c>
      <c r="D15" s="96">
        <f>'Full-Load Performance'!X5</f>
        <v>18.04</v>
      </c>
      <c r="E15" s="96" t="str">
        <f>IF('Full-Load Performance'!$B$20="Set to NA","NA",'Full-Load Performance'!Y5)</f>
        <v>NA</v>
      </c>
      <c r="F15" s="96" t="str">
        <f>IF('Full-Load Performance'!$B$20="Set to NA","NA",'Full-Load Performance'!Z5)</f>
        <v>NA</v>
      </c>
      <c r="G15" s="97" t="str">
        <f>IF('Full-Load Performance'!$B$20="Set to NA","NA",'Full-Load Performance'!AA5)</f>
        <v>NA</v>
      </c>
      <c r="H15" s="43"/>
      <c r="I15" s="43"/>
      <c r="J15" s="43"/>
      <c r="K15" s="43"/>
      <c r="L15" s="43"/>
      <c r="M15" s="43"/>
    </row>
    <row r="16" spans="1:13" x14ac:dyDescent="0.25">
      <c r="A16" s="101" t="s">
        <v>55</v>
      </c>
      <c r="B16" s="43" t="s">
        <v>38</v>
      </c>
      <c r="C16" s="96">
        <f>'Full-Load Performance'!W6</f>
        <v>178.4</v>
      </c>
      <c r="D16" s="96">
        <f>'Full-Load Performance'!X6</f>
        <v>18.309999999999999</v>
      </c>
      <c r="E16" s="96" t="str">
        <f>IF('Full-Load Performance'!$B$20="Set to NA","NA",'Full-Load Performance'!Y6)</f>
        <v>NA</v>
      </c>
      <c r="F16" s="96" t="str">
        <f>IF('Full-Load Performance'!$B$20="Set to NA","NA",'Full-Load Performance'!Z6)</f>
        <v>NA</v>
      </c>
      <c r="G16" s="97" t="str">
        <f>IF('Full-Load Performance'!$B$20="Set to NA","NA",'Full-Load Performance'!AA6)</f>
        <v>NA</v>
      </c>
      <c r="H16" s="43"/>
      <c r="I16" s="43"/>
      <c r="J16" s="43"/>
      <c r="K16" s="43"/>
      <c r="L16" s="43"/>
      <c r="M16" s="43"/>
    </row>
    <row r="17" spans="1:13" x14ac:dyDescent="0.25">
      <c r="A17" s="101" t="s">
        <v>55</v>
      </c>
      <c r="B17" s="43" t="s">
        <v>39</v>
      </c>
      <c r="C17" s="96">
        <f>'Full-Load Performance'!W7</f>
        <v>189.9</v>
      </c>
      <c r="D17" s="96">
        <f>'Full-Load Performance'!X7</f>
        <v>18.600000000000001</v>
      </c>
      <c r="E17" s="96" t="str">
        <f>IF('Full-Load Performance'!$B$20="Set to NA","NA",'Full-Load Performance'!Y7)</f>
        <v>NA</v>
      </c>
      <c r="F17" s="96" t="str">
        <f>IF('Full-Load Performance'!$B$20="Set to NA","NA",'Full-Load Performance'!Z7)</f>
        <v>NA</v>
      </c>
      <c r="G17" s="97" t="str">
        <f>IF('Full-Load Performance'!$B$20="Set to NA","NA",'Full-Load Performance'!AA7)</f>
        <v>NA</v>
      </c>
      <c r="H17" s="43"/>
      <c r="I17" s="43"/>
      <c r="J17" s="43"/>
      <c r="K17" s="43"/>
      <c r="L17" s="43"/>
      <c r="M17" s="43"/>
    </row>
    <row r="18" spans="1:13" x14ac:dyDescent="0.25">
      <c r="A18" s="101" t="s">
        <v>55</v>
      </c>
      <c r="B18" s="43" t="s">
        <v>40</v>
      </c>
      <c r="C18" s="96">
        <f>'Full-Load Performance'!AB5</f>
        <v>162.30000000000001</v>
      </c>
      <c r="D18" s="96">
        <f>'Full-Load Performance'!AC5</f>
        <v>19.91</v>
      </c>
      <c r="E18" s="96" t="str">
        <f>IF('Full-Load Performance'!$B$20="Set to NA","NA",'Full-Load Performance'!AD5)</f>
        <v>NA</v>
      </c>
      <c r="F18" s="96" t="str">
        <f>IF('Full-Load Performance'!$B$20="Set to NA","NA",'Full-Load Performance'!AE5)</f>
        <v>NA</v>
      </c>
      <c r="G18" s="97" t="str">
        <f>IF('Full-Load Performance'!$B$20="Set to NA","NA",'Full-Load Performance'!AF5)</f>
        <v>NA</v>
      </c>
      <c r="H18" s="43"/>
      <c r="I18" s="43"/>
      <c r="J18" s="43"/>
      <c r="K18" s="43"/>
      <c r="L18" s="43"/>
      <c r="M18" s="43"/>
    </row>
    <row r="19" spans="1:13" x14ac:dyDescent="0.25">
      <c r="A19" s="101" t="s">
        <v>55</v>
      </c>
      <c r="B19" s="43" t="s">
        <v>41</v>
      </c>
      <c r="C19" s="96">
        <f>'Full-Load Performance'!AB6</f>
        <v>170.7</v>
      </c>
      <c r="D19" s="96">
        <f>'Full-Load Performance'!AC6</f>
        <v>20.190000000000001</v>
      </c>
      <c r="E19" s="96" t="str">
        <f>IF('Full-Load Performance'!$B$20="Set to NA","NA",'Full-Load Performance'!AD6)</f>
        <v>NA</v>
      </c>
      <c r="F19" s="96" t="str">
        <f>IF('Full-Load Performance'!$B$20="Set to NA","NA",'Full-Load Performance'!AE6)</f>
        <v>NA</v>
      </c>
      <c r="G19" s="97" t="str">
        <f>IF('Full-Load Performance'!$B$20="Set to NA","NA",'Full-Load Performance'!AF6)</f>
        <v>NA</v>
      </c>
      <c r="H19" s="43"/>
      <c r="I19" s="43"/>
      <c r="J19" s="43"/>
      <c r="K19" s="43"/>
      <c r="L19" s="43"/>
      <c r="M19" s="43"/>
    </row>
    <row r="20" spans="1:13" x14ac:dyDescent="0.25">
      <c r="A20" s="101" t="s">
        <v>55</v>
      </c>
      <c r="B20" s="43" t="s">
        <v>42</v>
      </c>
      <c r="C20" s="96">
        <f>'Full-Load Performance'!AB7</f>
        <v>181.6</v>
      </c>
      <c r="D20" s="96">
        <f>'Full-Load Performance'!AC7</f>
        <v>20.54</v>
      </c>
      <c r="E20" s="96" t="str">
        <f>IF('Full-Load Performance'!$B$20="Set to NA","NA",'Full-Load Performance'!AD7)</f>
        <v>NA</v>
      </c>
      <c r="F20" s="96" t="str">
        <f>IF('Full-Load Performance'!$B$20="Set to NA","NA",'Full-Load Performance'!AE7)</f>
        <v>NA</v>
      </c>
      <c r="G20" s="97" t="str">
        <f>IF('Full-Load Performance'!$B$20="Set to NA","NA",'Full-Load Performance'!AF7)</f>
        <v>NA</v>
      </c>
      <c r="H20" s="43"/>
      <c r="I20" s="43"/>
      <c r="J20" s="43"/>
      <c r="K20" s="43"/>
      <c r="L20" s="43"/>
      <c r="M20" s="43"/>
    </row>
    <row r="21" spans="1:13" x14ac:dyDescent="0.25">
      <c r="A21" s="101" t="s">
        <v>43</v>
      </c>
      <c r="B21" s="43" t="s">
        <v>54</v>
      </c>
      <c r="C21" s="96">
        <f>'Full-Load Performance'!$E$10</f>
        <v>6000</v>
      </c>
      <c r="D21" s="96"/>
      <c r="E21" s="96"/>
      <c r="F21" s="96"/>
      <c r="G21" s="97"/>
      <c r="H21" s="43"/>
      <c r="I21" s="43"/>
      <c r="J21" s="43"/>
      <c r="K21" s="43"/>
      <c r="L21" s="43"/>
      <c r="M21" s="43"/>
    </row>
    <row r="22" spans="1:13" x14ac:dyDescent="0.25">
      <c r="A22" s="101" t="s">
        <v>47</v>
      </c>
      <c r="B22" s="43" t="s">
        <v>54</v>
      </c>
      <c r="C22" s="96">
        <f>'AHRI Ratings'!C3</f>
        <v>186000</v>
      </c>
      <c r="D22" s="96"/>
      <c r="E22" s="96"/>
      <c r="F22" s="96"/>
      <c r="G22" s="97"/>
      <c r="H22" s="43"/>
      <c r="I22" s="43"/>
      <c r="J22" s="43"/>
      <c r="K22" s="43"/>
      <c r="L22" s="43"/>
      <c r="M22" s="43"/>
    </row>
    <row r="23" spans="1:13" x14ac:dyDescent="0.25">
      <c r="A23" s="101" t="s">
        <v>48</v>
      </c>
      <c r="B23" s="43" t="s">
        <v>54</v>
      </c>
      <c r="C23" s="96">
        <f>'AHRI Ratings'!C4</f>
        <v>180000</v>
      </c>
      <c r="D23" s="96"/>
      <c r="E23" s="96"/>
      <c r="F23" s="96"/>
      <c r="G23" s="97"/>
    </row>
    <row r="24" spans="1:13" x14ac:dyDescent="0.25">
      <c r="A24" s="101" t="s">
        <v>49</v>
      </c>
      <c r="B24" s="43" t="s">
        <v>54</v>
      </c>
      <c r="C24" s="96">
        <f>'AHRI Ratings'!C6</f>
        <v>6000</v>
      </c>
      <c r="D24" s="96"/>
      <c r="E24" s="96"/>
      <c r="F24" s="96"/>
      <c r="G24" s="97"/>
    </row>
    <row r="25" spans="1:13" x14ac:dyDescent="0.25">
      <c r="A25" s="101" t="s">
        <v>50</v>
      </c>
      <c r="B25" s="43" t="s">
        <v>54</v>
      </c>
      <c r="C25" s="96">
        <f>'AHRI Ratings'!C7</f>
        <v>1.758</v>
      </c>
      <c r="D25" s="96"/>
      <c r="E25" s="96"/>
      <c r="F25" s="96"/>
      <c r="G25" s="97"/>
    </row>
    <row r="26" spans="1:13" x14ac:dyDescent="0.25">
      <c r="A26" s="101" t="s">
        <v>86</v>
      </c>
      <c r="B26" s="43" t="s">
        <v>54</v>
      </c>
      <c r="C26" s="96">
        <f>'AHRI Ratings'!C8</f>
        <v>16.64</v>
      </c>
      <c r="D26" s="96"/>
      <c r="E26" s="96"/>
      <c r="F26" s="96"/>
      <c r="G26" s="97"/>
    </row>
    <row r="27" spans="1:13" x14ac:dyDescent="0.25">
      <c r="A27" s="101" t="s">
        <v>51</v>
      </c>
      <c r="B27" s="43" t="s">
        <v>54</v>
      </c>
      <c r="C27" s="96">
        <f>'AHRI Ratings'!C9</f>
        <v>0.20200000000000173</v>
      </c>
      <c r="D27" s="96"/>
      <c r="E27" s="96"/>
      <c r="F27" s="96"/>
      <c r="G27" s="97"/>
    </row>
    <row r="28" spans="1:13" x14ac:dyDescent="0.25">
      <c r="A28" s="101" t="s">
        <v>52</v>
      </c>
      <c r="B28" s="43" t="s">
        <v>54</v>
      </c>
      <c r="C28" s="96">
        <f>'AHRI Ratings'!C10</f>
        <v>18.600000000000001</v>
      </c>
      <c r="D28" s="96"/>
      <c r="E28" s="96"/>
      <c r="F28" s="96"/>
      <c r="G28" s="97"/>
    </row>
    <row r="29" spans="1:13" x14ac:dyDescent="0.25">
      <c r="A29" s="101" t="s">
        <v>68</v>
      </c>
      <c r="B29" s="43" t="s">
        <v>54</v>
      </c>
      <c r="C29" s="96">
        <f>'AHRI Ratings'!C5</f>
        <v>0.75</v>
      </c>
      <c r="D29" s="96"/>
      <c r="E29" s="96"/>
      <c r="F29" s="96"/>
      <c r="G29" s="97"/>
    </row>
    <row r="30" spans="1:13" x14ac:dyDescent="0.25">
      <c r="A30" s="101" t="s">
        <v>17</v>
      </c>
      <c r="B30" s="43" t="s">
        <v>54</v>
      </c>
      <c r="C30" s="98">
        <f>'AHRI Ratings'!C11</f>
        <v>9.6774193548387082</v>
      </c>
      <c r="D30" s="96"/>
      <c r="E30" s="96"/>
      <c r="F30" s="96"/>
      <c r="G30" s="97"/>
      <c r="H30" s="43"/>
      <c r="I30" s="43"/>
      <c r="J30" s="43"/>
    </row>
    <row r="31" spans="1:13" x14ac:dyDescent="0.25">
      <c r="A31" s="101" t="s">
        <v>18</v>
      </c>
      <c r="B31" s="43" t="s">
        <v>54</v>
      </c>
      <c r="C31" s="96" t="str">
        <f>'AHRI Ratings'!C12</f>
        <v>NA</v>
      </c>
      <c r="D31" s="96"/>
      <c r="E31" s="96"/>
      <c r="F31" s="96"/>
      <c r="G31" s="97"/>
      <c r="H31" s="43"/>
      <c r="I31" s="43"/>
      <c r="J31" s="43"/>
    </row>
    <row r="32" spans="1:13" x14ac:dyDescent="0.25">
      <c r="A32" s="101" t="s">
        <v>53</v>
      </c>
      <c r="B32" s="43">
        <f>'Part-Load Performance'!B23</f>
        <v>100</v>
      </c>
      <c r="C32" s="96">
        <f>'Part-Load Performance'!C23</f>
        <v>11.161640268746778</v>
      </c>
      <c r="D32" s="96">
        <f>'Part-Load Performance'!D23</f>
        <v>13.268624229310458</v>
      </c>
      <c r="E32" s="96">
        <f>'Part-Load Performance'!E23</f>
        <v>15.694464481394281</v>
      </c>
      <c r="F32" s="96">
        <f>'Part-Load Performance'!F23</f>
        <v>16.295074514587817</v>
      </c>
      <c r="G32" s="97"/>
      <c r="H32" s="43"/>
      <c r="I32" s="43"/>
      <c r="J32" s="43"/>
    </row>
    <row r="33" spans="1:7" x14ac:dyDescent="0.25">
      <c r="A33" s="101" t="s">
        <v>53</v>
      </c>
      <c r="B33" s="43">
        <f>'Part-Load Performance'!B24</f>
        <v>75</v>
      </c>
      <c r="C33" s="96">
        <f>'Part-Load Performance'!C24</f>
        <v>11.491911338332427</v>
      </c>
      <c r="D33" s="96">
        <f>'Part-Load Performance'!D24</f>
        <v>13.661240602050487</v>
      </c>
      <c r="E33" s="96">
        <f>'Part-Load Performance'!E24</f>
        <v>16.158861061649421</v>
      </c>
      <c r="F33" s="96">
        <f>'Part-Load Performance'!F24</f>
        <v>16.777243045317132</v>
      </c>
      <c r="G33" s="97"/>
    </row>
    <row r="34" spans="1:7" x14ac:dyDescent="0.25">
      <c r="A34" s="101" t="s">
        <v>53</v>
      </c>
      <c r="B34" s="43">
        <f>'Part-Load Performance'!B25</f>
        <v>50</v>
      </c>
      <c r="C34" s="96">
        <f>'Part-Load Performance'!C25</f>
        <v>11.786422271322003</v>
      </c>
      <c r="D34" s="96">
        <f>'Part-Load Performance'!D25</f>
        <v>14.011346393598371</v>
      </c>
      <c r="E34" s="96">
        <f>'Part-Load Performance'!E25</f>
        <v>16.572975050802935</v>
      </c>
      <c r="F34" s="96">
        <f>'Part-Load Performance'!F25</f>
        <v>17.207204725041183</v>
      </c>
      <c r="G34" s="97"/>
    </row>
    <row r="35" spans="1:7" x14ac:dyDescent="0.25">
      <c r="A35" s="102" t="s">
        <v>53</v>
      </c>
      <c r="B35" s="44">
        <f>'Part-Load Performance'!B26</f>
        <v>25</v>
      </c>
      <c r="C35" s="99">
        <f>'Part-Load Performance'!C26</f>
        <v>12.024390270667144</v>
      </c>
      <c r="D35" s="99">
        <f>'Part-Load Performance'!D26</f>
        <v>14.294235636208411</v>
      </c>
      <c r="E35" s="99">
        <f>'Part-Load Performance'!E26</f>
        <v>16.90758360505713</v>
      </c>
      <c r="F35" s="99">
        <f>'Part-Load Performance'!F26</f>
        <v>17.554618383611977</v>
      </c>
      <c r="G35" s="100"/>
    </row>
  </sheetData>
  <sheetProtection password="CC64"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B33" sqref="B33"/>
    </sheetView>
  </sheetViews>
  <sheetFormatPr defaultRowHeight="15" x14ac:dyDescent="0.25"/>
  <cols>
    <col min="1" max="1" width="3.28515625"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AC22"/>
  <sheetViews>
    <sheetView workbookViewId="0">
      <selection activeCell="A29" sqref="A29"/>
    </sheetView>
  </sheetViews>
  <sheetFormatPr defaultRowHeight="15" x14ac:dyDescent="0.25"/>
  <sheetData>
    <row r="3" spans="2:29" x14ac:dyDescent="0.25">
      <c r="B3" s="18"/>
      <c r="C3" s="18" t="s">
        <v>56</v>
      </c>
      <c r="D3" s="18" t="s">
        <v>57</v>
      </c>
      <c r="E3" s="18"/>
      <c r="F3" s="18"/>
      <c r="G3" s="18"/>
      <c r="H3" s="18"/>
      <c r="I3" s="18"/>
      <c r="J3" s="18"/>
      <c r="K3" s="18"/>
      <c r="L3" s="18"/>
      <c r="M3" s="18"/>
      <c r="N3" s="18"/>
      <c r="O3" s="18"/>
      <c r="P3" s="18"/>
      <c r="Q3" s="18"/>
      <c r="R3" s="18"/>
      <c r="S3" s="18"/>
      <c r="T3" s="18"/>
      <c r="U3" s="18"/>
      <c r="V3" s="18"/>
      <c r="W3" s="18"/>
      <c r="X3" s="18"/>
      <c r="Y3" s="18"/>
      <c r="Z3" s="18"/>
      <c r="AA3" s="18"/>
      <c r="AB3" s="18"/>
      <c r="AC3" s="18"/>
    </row>
    <row r="4" spans="2:29" x14ac:dyDescent="0.25">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row>
    <row r="5" spans="2:29" x14ac:dyDescent="0.25">
      <c r="B5" s="18"/>
      <c r="C5" s="18" t="s">
        <v>58</v>
      </c>
      <c r="D5" s="18"/>
      <c r="E5" s="18">
        <v>1370</v>
      </c>
      <c r="F5" s="18" t="s">
        <v>59</v>
      </c>
      <c r="G5" s="18"/>
      <c r="H5" s="18"/>
      <c r="I5" s="18"/>
      <c r="J5" s="18"/>
      <c r="K5" s="18"/>
      <c r="L5" s="18"/>
      <c r="M5" s="18"/>
      <c r="N5" s="18"/>
      <c r="O5" s="18"/>
      <c r="P5" s="18"/>
      <c r="Q5" s="18"/>
      <c r="R5" s="18"/>
      <c r="S5" s="18"/>
      <c r="T5" s="18"/>
      <c r="U5" s="18"/>
      <c r="V5" s="18"/>
      <c r="W5" s="18"/>
      <c r="X5" s="18"/>
      <c r="Y5" s="18"/>
      <c r="Z5" s="18"/>
      <c r="AA5" s="18"/>
      <c r="AB5" s="18"/>
      <c r="AC5" s="18"/>
    </row>
    <row r="6" spans="2:29" x14ac:dyDescent="0.25">
      <c r="B6" s="18"/>
      <c r="C6" s="18" t="s">
        <v>60</v>
      </c>
      <c r="D6" s="18"/>
      <c r="E6" s="18">
        <v>6000</v>
      </c>
      <c r="F6" s="18" t="s">
        <v>61</v>
      </c>
      <c r="G6" s="18" t="s">
        <v>62</v>
      </c>
      <c r="H6" s="18">
        <f>E6/3.413</f>
        <v>1757.9841781423968</v>
      </c>
      <c r="I6" s="18" t="s">
        <v>59</v>
      </c>
      <c r="J6" s="18"/>
      <c r="K6" s="18"/>
      <c r="L6" s="18"/>
      <c r="M6" s="18"/>
      <c r="N6" s="18"/>
      <c r="O6" s="18"/>
      <c r="P6" s="18"/>
      <c r="Q6" s="18"/>
      <c r="R6" s="18"/>
      <c r="S6" s="18"/>
      <c r="T6" s="18"/>
      <c r="U6" s="18"/>
      <c r="V6" s="18"/>
      <c r="W6" s="18"/>
      <c r="X6" s="18"/>
      <c r="Y6" s="18"/>
      <c r="Z6" s="18"/>
      <c r="AA6" s="18"/>
      <c r="AB6" s="18"/>
      <c r="AC6" s="18"/>
    </row>
    <row r="7" spans="2:29" x14ac:dyDescent="0.25">
      <c r="B7" s="18" t="s">
        <v>8</v>
      </c>
      <c r="C7" s="18"/>
      <c r="D7" s="18"/>
      <c r="E7" s="18" t="s">
        <v>63</v>
      </c>
      <c r="F7" s="18"/>
      <c r="G7" s="18" t="s">
        <v>64</v>
      </c>
      <c r="H7" s="122">
        <v>85</v>
      </c>
      <c r="I7" s="122"/>
      <c r="J7" s="122"/>
      <c r="K7" s="18"/>
      <c r="L7" s="18"/>
      <c r="M7" s="18"/>
      <c r="N7" s="122">
        <v>95</v>
      </c>
      <c r="O7" s="122"/>
      <c r="P7" s="122"/>
      <c r="Q7" s="18"/>
      <c r="R7" s="18"/>
      <c r="S7" s="18"/>
      <c r="T7" s="18"/>
      <c r="U7" s="18"/>
      <c r="V7" s="18"/>
      <c r="W7" s="18"/>
      <c r="X7" s="18"/>
      <c r="Y7" s="18"/>
      <c r="Z7" s="18"/>
      <c r="AA7" s="18"/>
      <c r="AB7" s="18"/>
      <c r="AC7" s="18"/>
    </row>
    <row r="8" spans="2:29" x14ac:dyDescent="0.25">
      <c r="B8" s="18">
        <v>63</v>
      </c>
      <c r="C8" s="19">
        <v>6000</v>
      </c>
      <c r="D8" s="18">
        <v>2830</v>
      </c>
      <c r="E8" s="18">
        <v>182.9</v>
      </c>
      <c r="F8" s="18">
        <v>53.6</v>
      </c>
      <c r="G8" s="18">
        <v>13.58</v>
      </c>
      <c r="H8" s="20">
        <v>0.76</v>
      </c>
      <c r="I8" s="20">
        <v>0.92</v>
      </c>
      <c r="J8" s="20">
        <v>1</v>
      </c>
      <c r="K8" s="18">
        <v>176.1</v>
      </c>
      <c r="L8" s="18">
        <v>51.6</v>
      </c>
      <c r="M8" s="18">
        <v>15.02</v>
      </c>
      <c r="N8" s="20">
        <v>0.77</v>
      </c>
      <c r="O8" s="20">
        <v>0.94</v>
      </c>
      <c r="P8" s="20">
        <v>1</v>
      </c>
      <c r="Q8" s="18">
        <v>169.3</v>
      </c>
      <c r="R8" s="18">
        <v>49.6</v>
      </c>
      <c r="S8" s="18">
        <v>16.670000000000002</v>
      </c>
      <c r="T8" s="20">
        <v>0.79</v>
      </c>
      <c r="U8" s="20">
        <v>0.96</v>
      </c>
      <c r="V8" s="20">
        <v>1</v>
      </c>
      <c r="W8" s="18">
        <v>162.30000000000001</v>
      </c>
      <c r="X8" s="18">
        <v>47.6</v>
      </c>
      <c r="Y8" s="18">
        <v>18.54</v>
      </c>
      <c r="Z8" s="20">
        <v>0.81</v>
      </c>
      <c r="AA8" s="20">
        <v>0.98</v>
      </c>
      <c r="AB8" s="20">
        <v>1</v>
      </c>
      <c r="AC8" s="18" t="s">
        <v>65</v>
      </c>
    </row>
    <row r="9" spans="2:29" x14ac:dyDescent="0.25">
      <c r="B9" s="18">
        <v>67</v>
      </c>
      <c r="C9" s="19">
        <v>6000</v>
      </c>
      <c r="D9" s="18">
        <v>2830</v>
      </c>
      <c r="E9" s="18">
        <v>193</v>
      </c>
      <c r="F9" s="18">
        <v>56.6</v>
      </c>
      <c r="G9" s="18">
        <v>13.81</v>
      </c>
      <c r="H9" s="20">
        <v>0.57999999999999996</v>
      </c>
      <c r="I9" s="20">
        <v>0.73</v>
      </c>
      <c r="J9" s="20">
        <v>0.89</v>
      </c>
      <c r="K9" s="18">
        <v>186</v>
      </c>
      <c r="L9" s="18">
        <v>54.5</v>
      </c>
      <c r="M9" s="18">
        <v>15.27</v>
      </c>
      <c r="N9" s="20">
        <v>0.59</v>
      </c>
      <c r="O9" s="20">
        <v>0.75</v>
      </c>
      <c r="P9" s="20">
        <v>0.91</v>
      </c>
      <c r="Q9" s="18">
        <v>178.4</v>
      </c>
      <c r="R9" s="18">
        <v>52.3</v>
      </c>
      <c r="S9" s="18">
        <v>16.940000000000001</v>
      </c>
      <c r="T9" s="20">
        <v>0.6</v>
      </c>
      <c r="U9" s="20">
        <v>0.76</v>
      </c>
      <c r="V9" s="20">
        <v>0.93</v>
      </c>
      <c r="W9" s="18">
        <v>170.7</v>
      </c>
      <c r="X9" s="18">
        <v>50</v>
      </c>
      <c r="Y9" s="18">
        <v>18.82</v>
      </c>
      <c r="Z9" s="20">
        <v>0.61</v>
      </c>
      <c r="AA9" s="20">
        <v>0.78</v>
      </c>
      <c r="AB9" s="20">
        <v>0.95</v>
      </c>
      <c r="AC9" s="18" t="s">
        <v>65</v>
      </c>
    </row>
    <row r="10" spans="2:29" x14ac:dyDescent="0.25">
      <c r="B10" s="18">
        <v>71</v>
      </c>
      <c r="C10" s="19">
        <v>6000</v>
      </c>
      <c r="D10" s="18">
        <v>2830</v>
      </c>
      <c r="E10" s="18">
        <v>205.2</v>
      </c>
      <c r="F10" s="18">
        <v>60.1</v>
      </c>
      <c r="G10" s="18">
        <v>14.1</v>
      </c>
      <c r="H10" s="20">
        <v>0.42</v>
      </c>
      <c r="I10" s="20">
        <v>0.56999999999999995</v>
      </c>
      <c r="J10" s="20">
        <v>0.71</v>
      </c>
      <c r="K10" s="18">
        <v>197.8</v>
      </c>
      <c r="L10" s="18">
        <v>58</v>
      </c>
      <c r="M10" s="18">
        <v>15.56</v>
      </c>
      <c r="N10" s="20">
        <v>0.43</v>
      </c>
      <c r="O10" s="20">
        <v>0.57999999999999996</v>
      </c>
      <c r="P10" s="20">
        <v>0.72</v>
      </c>
      <c r="Q10" s="18">
        <v>189.9</v>
      </c>
      <c r="R10" s="18">
        <v>55.7</v>
      </c>
      <c r="S10" s="18">
        <v>17.23</v>
      </c>
      <c r="T10" s="20">
        <v>0.43</v>
      </c>
      <c r="U10" s="20">
        <v>0.57999999999999996</v>
      </c>
      <c r="V10" s="20">
        <v>0.74</v>
      </c>
      <c r="W10" s="18">
        <v>181.6</v>
      </c>
      <c r="X10" s="18">
        <v>53.2</v>
      </c>
      <c r="Y10" s="18">
        <v>19.170000000000002</v>
      </c>
      <c r="Z10" s="20">
        <v>0.44</v>
      </c>
      <c r="AA10" s="20">
        <v>0.6</v>
      </c>
      <c r="AB10" s="20">
        <v>0.76</v>
      </c>
      <c r="AC10" s="18" t="s">
        <v>65</v>
      </c>
    </row>
    <row r="11" spans="2:29"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row>
    <row r="12" spans="2:29" x14ac:dyDescent="0.25">
      <c r="B12" s="18"/>
      <c r="C12" s="18"/>
      <c r="D12" s="18"/>
      <c r="E12" s="18"/>
      <c r="F12" s="18"/>
      <c r="G12" s="18" t="s">
        <v>45</v>
      </c>
      <c r="H12" s="18"/>
      <c r="I12" s="18"/>
      <c r="J12" s="18"/>
      <c r="K12" s="18"/>
      <c r="L12" s="18"/>
      <c r="M12" s="18" t="s">
        <v>45</v>
      </c>
      <c r="N12" s="18"/>
      <c r="O12" s="18"/>
      <c r="P12" s="18"/>
      <c r="Q12" s="18"/>
      <c r="R12" s="18"/>
      <c r="S12" s="18" t="s">
        <v>45</v>
      </c>
      <c r="T12" s="18"/>
      <c r="U12" s="18"/>
      <c r="V12" s="18"/>
      <c r="W12" s="18"/>
      <c r="X12" s="18"/>
      <c r="Y12" s="18" t="s">
        <v>45</v>
      </c>
      <c r="Z12" s="18"/>
      <c r="AA12" s="18"/>
      <c r="AB12" s="18"/>
      <c r="AC12" s="18"/>
    </row>
    <row r="13" spans="2:29" x14ac:dyDescent="0.25">
      <c r="B13" s="18"/>
      <c r="C13" s="18"/>
      <c r="D13" s="18"/>
      <c r="E13" s="18"/>
      <c r="F13" s="18"/>
      <c r="G13" s="18">
        <f>($E$5/1000) + G8</f>
        <v>14.95</v>
      </c>
      <c r="H13" s="18"/>
      <c r="I13" s="18"/>
      <c r="J13" s="18"/>
      <c r="K13" s="18"/>
      <c r="L13" s="18"/>
      <c r="M13" s="18">
        <f>($E$5/1000) + M8</f>
        <v>16.39</v>
      </c>
      <c r="N13" s="18"/>
      <c r="O13" s="18"/>
      <c r="P13" s="18"/>
      <c r="Q13" s="18"/>
      <c r="R13" s="18"/>
      <c r="S13" s="18">
        <f>($E$5/1000) + S8</f>
        <v>18.040000000000003</v>
      </c>
      <c r="T13" s="18"/>
      <c r="U13" s="18"/>
      <c r="V13" s="18"/>
      <c r="W13" s="18"/>
      <c r="X13" s="18"/>
      <c r="Y13" s="18">
        <f>($E$5/1000) + Y8</f>
        <v>19.91</v>
      </c>
      <c r="Z13" s="18"/>
      <c r="AA13" s="18"/>
      <c r="AB13" s="18"/>
      <c r="AC13" s="18"/>
    </row>
    <row r="14" spans="2:29" x14ac:dyDescent="0.25">
      <c r="B14" s="18"/>
      <c r="C14" s="18"/>
      <c r="D14" s="18"/>
      <c r="E14" s="18"/>
      <c r="F14" s="18"/>
      <c r="G14" s="18">
        <f>($E$5/1000) + G9</f>
        <v>15.18</v>
      </c>
      <c r="H14" s="18"/>
      <c r="I14" s="18"/>
      <c r="J14" s="18"/>
      <c r="K14" s="18"/>
      <c r="L14" s="18"/>
      <c r="M14" s="18">
        <f>($E$5/1000) + M9</f>
        <v>16.64</v>
      </c>
      <c r="N14" s="18"/>
      <c r="O14" s="18"/>
      <c r="P14" s="18"/>
      <c r="Q14" s="18"/>
      <c r="R14" s="18"/>
      <c r="S14" s="18">
        <f>($E$5/1000) + S9</f>
        <v>18.310000000000002</v>
      </c>
      <c r="T14" s="18"/>
      <c r="U14" s="18"/>
      <c r="V14" s="18"/>
      <c r="W14" s="18"/>
      <c r="X14" s="18"/>
      <c r="Y14" s="18">
        <f>($E$5/1000) + Y9</f>
        <v>20.190000000000001</v>
      </c>
      <c r="Z14" s="18"/>
      <c r="AA14" s="18"/>
      <c r="AB14" s="18"/>
      <c r="AC14" s="18"/>
    </row>
    <row r="15" spans="2:29" x14ac:dyDescent="0.25">
      <c r="B15" s="18"/>
      <c r="C15" s="18"/>
      <c r="D15" s="18"/>
      <c r="E15" s="18"/>
      <c r="F15" s="18"/>
      <c r="G15" s="18">
        <f>($E$5/1000) + G10</f>
        <v>15.469999999999999</v>
      </c>
      <c r="H15" s="18"/>
      <c r="I15" s="18"/>
      <c r="J15" s="18"/>
      <c r="K15" s="18"/>
      <c r="L15" s="18"/>
      <c r="M15" s="18">
        <f>($E$5/1000) + M10</f>
        <v>16.93</v>
      </c>
      <c r="N15" s="18"/>
      <c r="O15" s="18"/>
      <c r="P15" s="18"/>
      <c r="Q15" s="18"/>
      <c r="R15" s="18"/>
      <c r="S15" s="18">
        <f>($E$5/1000) + S10</f>
        <v>18.600000000000001</v>
      </c>
      <c r="T15" s="18"/>
      <c r="U15" s="18"/>
      <c r="V15" s="18"/>
      <c r="W15" s="18"/>
      <c r="X15" s="18"/>
      <c r="Y15" s="18">
        <f>($E$5/1000) + Y10</f>
        <v>20.540000000000003</v>
      </c>
      <c r="Z15" s="18"/>
      <c r="AA15" s="18"/>
      <c r="AB15" s="18"/>
      <c r="AC15" s="18"/>
    </row>
    <row r="16" spans="2:29" x14ac:dyDescent="0.25">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row>
    <row r="17" spans="2:29" x14ac:dyDescent="0.25">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row>
    <row r="18" spans="2:29" x14ac:dyDescent="0.25">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row>
    <row r="19" spans="2:29" x14ac:dyDescent="0.25">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row>
    <row r="20" spans="2:29" x14ac:dyDescent="0.25">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row>
    <row r="21" spans="2:29" x14ac:dyDescent="0.25">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row>
    <row r="22" spans="2:29"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row>
  </sheetData>
  <mergeCells count="2">
    <mergeCell ref="H7:J7"/>
    <mergeCell ref="N7:P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Overview</vt:lpstr>
      <vt:lpstr>Full-Load Performance</vt:lpstr>
      <vt:lpstr>AHRI Ratings</vt:lpstr>
      <vt:lpstr>Part-Load Performance</vt:lpstr>
      <vt:lpstr>Data Summary</vt:lpstr>
      <vt:lpstr>Scratch--ImagesFromPDF</vt:lpstr>
      <vt:lpstr>Scratch--TablesPastedFromPDF</vt:lpstr>
      <vt:lpstr>CFan_percent</vt:lpstr>
      <vt:lpstr>Clear_STR</vt:lpstr>
      <vt:lpstr>DegFactor</vt:lpstr>
      <vt:lpstr>Efan_kW</vt:lpstr>
      <vt:lpstr>N_affinity</vt:lpstr>
      <vt:lpstr>Partload_Mode</vt:lpstr>
      <vt:lpstr>SystemType</vt:lpstr>
    </vt:vector>
  </TitlesOfParts>
  <Company>Gustavus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Miller</dc:creator>
  <cp:lastModifiedBy>Jim Miller</cp:lastModifiedBy>
  <cp:lastPrinted>2014-10-09T03:57:59Z</cp:lastPrinted>
  <dcterms:created xsi:type="dcterms:W3CDTF">2010-06-11T21:17:51Z</dcterms:created>
  <dcterms:modified xsi:type="dcterms:W3CDTF">2014-12-30T18:53:58Z</dcterms:modified>
</cp:coreProperties>
</file>